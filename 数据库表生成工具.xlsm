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60" windowWidth="15120" windowHeight="7500"/>
  </bookViews>
  <sheets>
    <sheet name="批量生成sql" sheetId="5" r:id="rId1"/>
    <sheet name="SEQUENCE" sheetId="4" r:id="rId2"/>
    <sheet name="消息" sheetId="6" r:id="rId3"/>
    <sheet name="checkResult" sheetId="7" r:id="rId4"/>
    <sheet name="dataSetting" sheetId="8" r:id="rId5"/>
    <sheet name="使用说明" sheetId="9" r:id="rId6"/>
  </sheets>
  <functionGroups builtInGroupCount="17"/>
  <calcPr calcId="145621"/>
</workbook>
</file>

<file path=xl/calcChain.xml><?xml version="1.0" encoding="utf-8"?>
<calcChain xmlns="http://schemas.openxmlformats.org/spreadsheetml/2006/main">
  <c r="L4" i="4" l="1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" i="4"/>
</calcChain>
</file>

<file path=xl/sharedStrings.xml><?xml version="1.0" encoding="utf-8"?>
<sst xmlns="http://schemas.openxmlformats.org/spreadsheetml/2006/main" count="207" uniqueCount="195">
  <si>
    <t>缓存序列数</t>
    <phoneticPr fontId="7" type="noConversion"/>
  </si>
  <si>
    <t>EXPENSE_ITEMS</t>
    <phoneticPr fontId="1" type="noConversion"/>
  </si>
  <si>
    <t>9999999999999999999999999999</t>
    <phoneticPr fontId="1" type="noConversion"/>
  </si>
  <si>
    <t>是</t>
  </si>
  <si>
    <t>否</t>
  </si>
  <si>
    <t>NO</t>
    <phoneticPr fontId="1" type="noConversion"/>
  </si>
  <si>
    <r>
      <t>SQL</t>
    </r>
    <r>
      <rPr>
        <b/>
        <sz val="10"/>
        <rFont val="宋体"/>
        <family val="3"/>
        <charset val="134"/>
      </rPr>
      <t>语句</t>
    </r>
    <phoneticPr fontId="1" type="noConversion"/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</si>
  <si>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2"/>
        <charset val="134"/>
        <scheme val="minor"/>
      </rPr>
      <t>英文表名</t>
    </r>
    <phoneticPr fontId="1" type="noConversion"/>
  </si>
  <si>
    <t>中文表名</t>
    <phoneticPr fontId="1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</si>
  <si>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</rPr>
      <t>最小</t>
    </r>
    <r>
      <rPr>
        <b/>
        <sz val="10"/>
        <rFont val="宋体"/>
        <family val="3"/>
        <charset val="134"/>
      </rPr>
      <t>值</t>
    </r>
    <phoneticPr fontId="7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</si>
  <si>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</rPr>
      <t>最大</t>
    </r>
    <r>
      <rPr>
        <b/>
        <sz val="10"/>
        <rFont val="宋体"/>
        <family val="3"/>
        <charset val="134"/>
      </rPr>
      <t>值</t>
    </r>
    <phoneticPr fontId="7" type="noConversion"/>
  </si>
  <si>
    <r>
      <rPr>
        <b/>
        <sz val="10"/>
        <color rgb="FFFF0000"/>
        <rFont val="宋体"/>
        <family val="3"/>
        <charset val="134"/>
      </rPr>
      <t>*</t>
    </r>
    <r>
      <rPr>
        <b/>
        <sz val="10"/>
        <rFont val="宋体"/>
        <family val="3"/>
        <charset val="134"/>
      </rPr>
      <t>步长</t>
    </r>
    <phoneticPr fontId="7" type="noConversion"/>
  </si>
  <si>
    <r>
      <rPr>
        <b/>
        <sz val="10"/>
        <color rgb="FFFF0000"/>
        <rFont val="宋体"/>
        <family val="3"/>
        <charset val="134"/>
      </rPr>
      <t>*</t>
    </r>
    <r>
      <rPr>
        <b/>
        <sz val="10"/>
        <rFont val="宋体"/>
        <family val="3"/>
        <charset val="134"/>
      </rPr>
      <t>开始值</t>
    </r>
    <phoneticPr fontId="7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</si>
  <si>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  <charset val="128"/>
      </rPr>
      <t>是否</t>
    </r>
    <r>
      <rPr>
        <b/>
        <sz val="10"/>
        <rFont val="宋体"/>
        <family val="3"/>
        <charset val="134"/>
      </rPr>
      <t>缓存</t>
    </r>
    <phoneticPr fontId="7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</si>
  <si>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</rPr>
      <t>是否循</t>
    </r>
    <r>
      <rPr>
        <b/>
        <sz val="10"/>
        <rFont val="宋体"/>
        <family val="3"/>
        <charset val="134"/>
      </rPr>
      <t>环</t>
    </r>
    <phoneticPr fontId="1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</si>
  <si>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  <charset val="128"/>
      </rPr>
      <t>是否有序</t>
    </r>
    <phoneticPr fontId="1" type="noConversion"/>
  </si>
  <si>
    <t>手动填入项</t>
    <phoneticPr fontId="1" type="noConversion"/>
  </si>
  <si>
    <t>公式生成内容</t>
    <phoneticPr fontId="1" type="noConversion"/>
  </si>
  <si>
    <t>生成SQL文件URL：</t>
    <phoneticPr fontId="1" type="noConversion"/>
  </si>
  <si>
    <t>A</t>
    <phoneticPr fontId="1" type="noConversion"/>
  </si>
  <si>
    <t>中文</t>
    <phoneticPr fontId="1" type="noConversion"/>
  </si>
  <si>
    <t>英文</t>
    <phoneticPr fontId="1" type="noConversion"/>
  </si>
  <si>
    <t>日文</t>
    <phoneticPr fontId="1" type="noConversion"/>
  </si>
  <si>
    <t>执行错误信息：</t>
    <phoneticPr fontId="1" type="noConversion"/>
  </si>
  <si>
    <t>工作表名</t>
    <phoneticPr fontId="1" type="noConversion"/>
  </si>
  <si>
    <t>内容</t>
    <phoneticPr fontId="1" type="noConversion"/>
  </si>
  <si>
    <t>行号</t>
    <phoneticPr fontId="1" type="noConversion"/>
  </si>
  <si>
    <t>固定长度字符串</t>
  </si>
  <si>
    <r>
      <t>最大长度</t>
    </r>
    <r>
      <rPr>
        <sz val="9"/>
        <color rgb="FFE46D0A"/>
        <rFont val="Verdana"/>
        <family val="2"/>
      </rPr>
      <t>2000bytes</t>
    </r>
  </si>
  <si>
    <r>
      <t>可变长度的字符串</t>
    </r>
    <r>
      <rPr>
        <sz val="9"/>
        <color rgb="FF60497B"/>
        <rFont val="Verdana"/>
        <family val="2"/>
      </rPr>
      <t>,</t>
    </r>
  </si>
  <si>
    <r>
      <t>最大长度</t>
    </r>
    <r>
      <rPr>
        <sz val="9"/>
        <color rgb="FFE46D0A"/>
        <rFont val="Verdana"/>
        <family val="2"/>
      </rPr>
      <t>4000bytes</t>
    </r>
  </si>
  <si>
    <r>
      <t>可做索引的最大长度</t>
    </r>
    <r>
      <rPr>
        <sz val="9"/>
        <color rgb="FF002060"/>
        <rFont val="Verdana"/>
        <family val="2"/>
      </rPr>
      <t>749</t>
    </r>
  </si>
  <si>
    <t>根据字符集而定的固定长度字符串</t>
  </si>
  <si>
    <t>根据字符集而定的可变长度字符串</t>
  </si>
  <si>
    <r>
      <t>日期（日</t>
    </r>
    <r>
      <rPr>
        <sz val="9"/>
        <color rgb="FF60497B"/>
        <rFont val="Verdana"/>
        <family val="2"/>
      </rPr>
      <t>-</t>
    </r>
    <r>
      <rPr>
        <sz val="9"/>
        <color rgb="FF60497B"/>
        <rFont val="宋体"/>
        <family val="3"/>
        <charset val="134"/>
      </rPr>
      <t>月</t>
    </r>
    <r>
      <rPr>
        <sz val="9"/>
        <color rgb="FF60497B"/>
        <rFont val="Verdana"/>
        <family val="2"/>
      </rPr>
      <t>-</t>
    </r>
    <r>
      <rPr>
        <sz val="9"/>
        <color rgb="FF60497B"/>
        <rFont val="宋体"/>
        <family val="3"/>
        <charset val="134"/>
      </rPr>
      <t>年）</t>
    </r>
  </si>
  <si>
    <r>
      <t>与</t>
    </r>
    <r>
      <rPr>
        <sz val="9"/>
        <color rgb="FF002060"/>
        <rFont val="Verdana"/>
        <family val="2"/>
      </rPr>
      <t>DATE</t>
    </r>
    <r>
      <rPr>
        <sz val="9"/>
        <color rgb="FF002060"/>
        <rFont val="宋体"/>
        <family val="3"/>
        <charset val="134"/>
      </rPr>
      <t>相比较，</t>
    </r>
    <r>
      <rPr>
        <sz val="9"/>
        <color rgb="FF002060"/>
        <rFont val="Verdana"/>
        <family val="2"/>
      </rPr>
      <t>TIMESTAMP</t>
    </r>
    <r>
      <rPr>
        <sz val="9"/>
        <color rgb="FF002060"/>
        <rFont val="宋体"/>
        <family val="3"/>
        <charset val="134"/>
      </rPr>
      <t>有小数位秒信息</t>
    </r>
  </si>
  <si>
    <t>超长字符串</t>
  </si>
  <si>
    <r>
      <t>最大长度</t>
    </r>
    <r>
      <rPr>
        <sz val="9"/>
        <color rgb="FFE46D0A"/>
        <rFont val="Verdana"/>
        <family val="2"/>
      </rPr>
      <t>2G,</t>
    </r>
    <r>
      <rPr>
        <sz val="9"/>
        <color rgb="FFE46D0A"/>
        <rFont val="宋体"/>
        <family val="3"/>
        <charset val="134"/>
      </rPr>
      <t>足够存储大部头著作</t>
    </r>
  </si>
  <si>
    <t>固定长度的二进制数据</t>
  </si>
  <si>
    <t>可存放多媒体图象声音等</t>
  </si>
  <si>
    <t>可变长度的二进制数据</t>
  </si>
  <si>
    <r>
      <t>最大长度</t>
    </r>
    <r>
      <rPr>
        <sz val="9"/>
        <color rgb="FFE46D0A"/>
        <rFont val="Verdana"/>
        <family val="2"/>
      </rPr>
      <t>2G</t>
    </r>
  </si>
  <si>
    <t>BLOB</t>
  </si>
  <si>
    <t>二进制数据</t>
  </si>
  <si>
    <r>
      <t>最大长度</t>
    </r>
    <r>
      <rPr>
        <sz val="9"/>
        <color rgb="FFE46D0A"/>
        <rFont val="Verdana"/>
        <family val="2"/>
      </rPr>
      <t>4G</t>
    </r>
  </si>
  <si>
    <t>字符数据</t>
  </si>
  <si>
    <t>根据字符集而定的字符数据</t>
  </si>
  <si>
    <t>存放在数据库外的二进制数据</t>
  </si>
  <si>
    <t>数据表中记录的唯一行号</t>
  </si>
  <si>
    <t>10bytes</t>
  </si>
  <si>
    <r>
      <t>********.****.****</t>
    </r>
    <r>
      <rPr>
        <sz val="9"/>
        <color rgb="FF002060"/>
        <rFont val="宋体"/>
        <family val="3"/>
        <charset val="134"/>
      </rPr>
      <t>格式，</t>
    </r>
    <r>
      <rPr>
        <sz val="9"/>
        <color rgb="FF002060"/>
        <rFont val="Verdana"/>
        <family val="2"/>
      </rPr>
      <t>*</t>
    </r>
    <r>
      <rPr>
        <sz val="9"/>
        <color rgb="FF002060"/>
        <rFont val="宋体"/>
        <family val="3"/>
        <charset val="134"/>
      </rPr>
      <t>为</t>
    </r>
    <r>
      <rPr>
        <sz val="9"/>
        <color rgb="FF002060"/>
        <rFont val="Verdana"/>
        <family val="2"/>
      </rPr>
      <t>0</t>
    </r>
    <r>
      <rPr>
        <sz val="9"/>
        <color rgb="FF002060"/>
        <rFont val="宋体"/>
        <family val="3"/>
        <charset val="134"/>
      </rPr>
      <t>或</t>
    </r>
    <r>
      <rPr>
        <sz val="9"/>
        <color rgb="FF002060"/>
        <rFont val="Verdana"/>
        <family val="2"/>
      </rPr>
      <t>1</t>
    </r>
  </si>
  <si>
    <t>二进制数据表中记录的唯一行号</t>
  </si>
  <si>
    <t>数字类型</t>
  </si>
  <si>
    <r>
      <t>P</t>
    </r>
    <r>
      <rPr>
        <sz val="9"/>
        <color rgb="FFE46D0A"/>
        <rFont val="宋体"/>
        <family val="3"/>
        <charset val="134"/>
      </rPr>
      <t>为整数位，</t>
    </r>
    <r>
      <rPr>
        <sz val="9"/>
        <color rgb="FFE46D0A"/>
        <rFont val="Verdana"/>
        <family val="2"/>
      </rPr>
      <t>S</t>
    </r>
    <r>
      <rPr>
        <sz val="9"/>
        <color rgb="FFE46D0A"/>
        <rFont val="宋体"/>
        <family val="3"/>
        <charset val="134"/>
      </rPr>
      <t>为小数位</t>
    </r>
  </si>
  <si>
    <t>整数类型</t>
  </si>
  <si>
    <t>小的整数</t>
  </si>
  <si>
    <t>浮点数类型</t>
  </si>
  <si>
    <r>
      <t>NUMBER(38)</t>
    </r>
    <r>
      <rPr>
        <sz val="9"/>
        <color rgb="FFE46D0A"/>
        <rFont val="宋体"/>
        <family val="3"/>
        <charset val="134"/>
      </rPr>
      <t>，双精度</t>
    </r>
  </si>
  <si>
    <t>实数类型</t>
  </si>
  <si>
    <t>数据类型</t>
    <phoneticPr fontId="1" type="noConversion"/>
  </si>
  <si>
    <t>数据类型含义</t>
    <phoneticPr fontId="1" type="noConversion"/>
  </si>
  <si>
    <t>最大长度</t>
    <phoneticPr fontId="1" type="noConversion"/>
  </si>
  <si>
    <t>备注</t>
    <phoneticPr fontId="1" type="noConversion"/>
  </si>
  <si>
    <t>CHAR</t>
    <phoneticPr fontId="1" type="noConversion"/>
  </si>
  <si>
    <t>VARCHAR2</t>
    <phoneticPr fontId="1" type="noConversion"/>
  </si>
  <si>
    <t>NCHAR</t>
    <phoneticPr fontId="1" type="noConversion"/>
  </si>
  <si>
    <t>NVARCHAR2</t>
    <phoneticPr fontId="1" type="noConversion"/>
  </si>
  <si>
    <t>DATE</t>
    <phoneticPr fontId="1" type="noConversion"/>
  </si>
  <si>
    <t>TIMESTAMP</t>
    <phoneticPr fontId="1" type="noConversion"/>
  </si>
  <si>
    <t>LONG</t>
    <phoneticPr fontId="1" type="noConversion"/>
  </si>
  <si>
    <t>RAW</t>
    <phoneticPr fontId="1" type="noConversion"/>
  </si>
  <si>
    <t>NUMBER(P,S)</t>
    <phoneticPr fontId="1" type="noConversion"/>
  </si>
  <si>
    <t>DECIMAL(P,S)</t>
    <phoneticPr fontId="1" type="noConversion"/>
  </si>
  <si>
    <t>INTEGER</t>
    <phoneticPr fontId="1" type="noConversion"/>
  </si>
  <si>
    <t>FLOAT</t>
    <phoneticPr fontId="1" type="noConversion"/>
  </si>
  <si>
    <t>REAL</t>
    <phoneticPr fontId="1" type="noConversion"/>
  </si>
  <si>
    <t>LONG RAW</t>
    <phoneticPr fontId="1" type="noConversion"/>
  </si>
  <si>
    <t>是否验证</t>
    <phoneticPr fontId="1" type="noConversion"/>
  </si>
  <si>
    <t>消息列表：</t>
    <phoneticPr fontId="1" type="noConversion"/>
  </si>
  <si>
    <t>NUMBER|FLOAT|DECIMAL|REAL</t>
    <phoneticPr fontId="1" type="noConversion"/>
  </si>
  <si>
    <t>CLOB</t>
    <phoneticPr fontId="1" type="noConversion"/>
  </si>
  <si>
    <t>NCLOB</t>
    <phoneticPr fontId="1" type="noConversion"/>
  </si>
  <si>
    <t>BFILE</t>
    <phoneticPr fontId="1" type="noConversion"/>
  </si>
  <si>
    <t>ROWID</t>
    <phoneticPr fontId="1" type="noConversion"/>
  </si>
  <si>
    <t>NROWID</t>
    <phoneticPr fontId="1" type="noConversion"/>
  </si>
  <si>
    <t>参数设定区域</t>
    <phoneticPr fontId="1" type="noConversion"/>
  </si>
  <si>
    <t>数据类型参考区域</t>
    <phoneticPr fontId="1" type="noConversion"/>
  </si>
  <si>
    <t>数据库定义书文件URL：</t>
    <phoneticPr fontId="1" type="noConversion"/>
  </si>
  <si>
    <t>【精度】必须是数字</t>
    <phoneticPr fontId="1" type="noConversion"/>
  </si>
  <si>
    <t>（sheet【消息】中语言所在列编号）</t>
    <phoneticPr fontId="1" type="noConversion"/>
  </si>
  <si>
    <t>允许使用数据类型：</t>
    <phoneticPr fontId="1" type="noConversion"/>
  </si>
  <si>
    <t>【位数】列免设置的数据类型：</t>
    <phoneticPr fontId="1" type="noConversion"/>
  </si>
  <si>
    <t>带精度数值类型：</t>
    <phoneticPr fontId="1" type="noConversion"/>
  </si>
  <si>
    <t>数据库定义书以外的sheet表名：</t>
    <phoneticPr fontId="1" type="noConversion"/>
  </si>
  <si>
    <t>Y</t>
  </si>
  <si>
    <t>功能说明：</t>
    <phoneticPr fontId="1" type="noConversion"/>
  </si>
  <si>
    <t>根据标准模板填写的数据库定义书，自动生成SQL语句，包括以下内容：</t>
    <phoneticPr fontId="1" type="noConversion"/>
  </si>
  <si>
    <t>“N”时，不验证数据库定义书填写内容，无法保证生成SQL语句的正确性</t>
    <phoneticPr fontId="1" type="noConversion"/>
  </si>
  <si>
    <t>“Y”时，验证数据库定义书是否按照规范填写，可确保生成SQL语句的正确性</t>
    <phoneticPr fontId="1" type="noConversion"/>
  </si>
  <si>
    <t>sheet【SEQUENCE】 ： SEQUENCE作成</t>
    <phoneticPr fontId="1" type="noConversion"/>
  </si>
  <si>
    <t>sheet【批量生成sql】 ： 建表，主键，索引，注释</t>
    <phoneticPr fontId="1" type="noConversion"/>
  </si>
  <si>
    <t>sheet【批量生成sql】</t>
  </si>
  <si>
    <t>sheet【SEQUENCE】</t>
    <phoneticPr fontId="1" type="noConversion"/>
  </si>
  <si>
    <t>手动填入SEQUENCE相关内容</t>
    <phoneticPr fontId="1" type="noConversion"/>
  </si>
  <si>
    <t>其中：【是否缓存】为‘是’时，【缓存序列数】为必填</t>
    <phoneticPr fontId="1" type="noConversion"/>
  </si>
  <si>
    <t>中文表名只为方便查看用，与实际生成SEQUENCE语句无关</t>
    <phoneticPr fontId="1" type="noConversion"/>
  </si>
  <si>
    <t>直接复制该行公式到对应填写行即可生成SEQUENCE语句</t>
    <phoneticPr fontId="1" type="noConversion"/>
  </si>
  <si>
    <t>验证未通过时，检测到的错误都输出到sheet【checkResult】中显示</t>
    <phoneticPr fontId="1" type="noConversion"/>
  </si>
  <si>
    <t>sheet【消息】</t>
    <phoneticPr fontId="1" type="noConversion"/>
  </si>
  <si>
    <t>所有可能出现的消息列表</t>
    <phoneticPr fontId="1" type="noConversion"/>
  </si>
  <si>
    <t>切换方法：如中文切换到日文</t>
    <phoneticPr fontId="1" type="noConversion"/>
  </si>
  <si>
    <t>消息语言类别：</t>
    <phoneticPr fontId="1" type="noConversion"/>
  </si>
  <si>
    <t>sheet【dataSetting】的【消息语言类别】</t>
    <phoneticPr fontId="1" type="noConversion"/>
  </si>
  <si>
    <t>由‘A’修改为‘C’即可</t>
    <phoneticPr fontId="1" type="noConversion"/>
  </si>
  <si>
    <t>按照语言分列显示，以支持不同语言环境</t>
    <phoneticPr fontId="1" type="noConversion"/>
  </si>
  <si>
    <t>下本工具的使用</t>
    <phoneticPr fontId="1" type="noConversion"/>
  </si>
  <si>
    <t>修改sheet【dataSetting】对应的数据类型后，可用于其它数据库的SQL生成</t>
    <phoneticPr fontId="1" type="noConversion"/>
  </si>
  <si>
    <t>修改sheet【消息】对应的消息内容和设置后，可在其它语言环境下使用本工具。</t>
    <phoneticPr fontId="1" type="noConversion"/>
  </si>
  <si>
    <t>主要使用语言环境：</t>
    <phoneticPr fontId="1" type="noConversion"/>
  </si>
  <si>
    <t>中文</t>
  </si>
  <si>
    <t>主要数据库对象：</t>
    <phoneticPr fontId="1" type="noConversion"/>
  </si>
  <si>
    <t>oracle</t>
  </si>
  <si>
    <t>sheet【checkResult】</t>
    <phoneticPr fontId="1" type="noConversion"/>
  </si>
  <si>
    <t>验证未通过时，生成的错误结果</t>
    <phoneticPr fontId="1" type="noConversion"/>
  </si>
  <si>
    <t>为确保程序正常执行，错误数大于99999行以后的不显示</t>
    <phoneticPr fontId="1" type="noConversion"/>
  </si>
  <si>
    <t>sheet【dataSetting】</t>
    <phoneticPr fontId="1" type="noConversion"/>
  </si>
  <si>
    <t>oracle数据库对应的数据类型设定</t>
    <phoneticPr fontId="1" type="noConversion"/>
  </si>
  <si>
    <t>若需更换为其它数据库（mysql,postgre等），修改对应的数据库类型即可</t>
    <phoneticPr fontId="1" type="noConversion"/>
  </si>
  <si>
    <t>数据库定义书文件中不需要处理的工作表名。</t>
    <phoneticPr fontId="1" type="noConversion"/>
  </si>
  <si>
    <t>功能前提：</t>
    <phoneticPr fontId="1" type="noConversion"/>
  </si>
  <si>
    <t>使用标准模板填写的数据库定义书，</t>
    <phoneticPr fontId="1" type="noConversion"/>
  </si>
  <si>
    <t>未使用正确的模板！</t>
    <phoneticPr fontId="1" type="noConversion"/>
  </si>
  <si>
    <t>Not using the correct template!</t>
    <phoneticPr fontId="1" type="noConversion"/>
  </si>
  <si>
    <t>正しいテンプレートを使用していません！</t>
    <phoneticPr fontId="1" type="noConversion"/>
  </si>
  <si>
    <t>【表名】必须输入</t>
    <phoneticPr fontId="1" type="noConversion"/>
  </si>
  <si>
    <t>【表名（英文）】必须是英数字，可包含下划线</t>
    <phoneticPr fontId="1" type="noConversion"/>
  </si>
  <si>
    <t>【数据类型】不存在</t>
    <phoneticPr fontId="1" type="noConversion"/>
  </si>
  <si>
    <t>table name must be entered</t>
    <phoneticPr fontId="1" type="noConversion"/>
  </si>
  <si>
    <t>english table name must be entered</t>
    <phoneticPr fontId="1" type="noConversion"/>
  </si>
  <si>
    <t>english table name Must be alphanumeric and can contain underscores</t>
    <phoneticPr fontId="1" type="noConversion"/>
  </si>
  <si>
    <t>【物理名】必须输入</t>
    <phoneticPr fontId="1" type="noConversion"/>
  </si>
  <si>
    <t>physical name must be entered</t>
    <phoneticPr fontId="1" type="noConversion"/>
  </si>
  <si>
    <t>physical name Must be alphanumeric and can contain underscores</t>
    <phoneticPr fontId="1" type="noConversion"/>
  </si>
  <si>
    <t>data type must be entered</t>
    <phoneticPr fontId="1" type="noConversion"/>
  </si>
  <si>
    <t>data type does not exist</t>
    <phoneticPr fontId="1" type="noConversion"/>
  </si>
  <si>
    <t>日期等特殊类型以外，必须输入【位数】</t>
    <phoneticPr fontId="1" type="noConversion"/>
  </si>
  <si>
    <t>when not special type(date etc.), bits must be entered</t>
    <phoneticPr fontId="1" type="noConversion"/>
  </si>
  <si>
    <t>【位数】必须是数字</t>
    <phoneticPr fontId="1" type="noConversion"/>
  </si>
  <si>
    <t>bits must be  numbers</t>
    <phoneticPr fontId="1" type="noConversion"/>
  </si>
  <si>
    <t>数值类型以外，不能输入【精度】</t>
    <phoneticPr fontId="1" type="noConversion"/>
  </si>
  <si>
    <t>when not Numeric types, precision can't be entered</t>
    <phoneticPr fontId="1" type="noConversion"/>
  </si>
  <si>
    <t>precision must be numbers</t>
    <phoneticPr fontId="1" type="noConversion"/>
  </si>
  <si>
    <t>[null] must be 'Y' or 'N'</t>
    <phoneticPr fontId="1" type="noConversion"/>
  </si>
  <si>
    <t>【主键】必须是数字</t>
    <phoneticPr fontId="1" type="noConversion"/>
  </si>
  <si>
    <t>primary key must be numbers</t>
    <phoneticPr fontId="1" type="noConversion"/>
  </si>
  <si>
    <t>index must be numbers</t>
    <phoneticPr fontId="1" type="noConversion"/>
  </si>
  <si>
    <t>数据库定义书文件类型不正确</t>
    <phoneticPr fontId="1" type="noConversion"/>
  </si>
  <si>
    <t>the type of database definition file is not correct</t>
    <phoneticPr fontId="1" type="noConversion"/>
  </si>
  <si>
    <t>指定生成的文件类型只能是txt或sql</t>
    <phoneticPr fontId="1" type="noConversion"/>
  </si>
  <si>
    <t>the type of the generated file must be 'txt' or 'sql'</t>
    <phoneticPr fontId="1" type="noConversion"/>
  </si>
  <si>
    <t>验证有误，生成sql失败！</t>
    <phoneticPr fontId="1" type="noConversion"/>
  </si>
  <si>
    <t>becase of validation errors, generating sql file failed!</t>
    <phoneticPr fontId="1" type="noConversion"/>
  </si>
  <si>
    <t>run success!</t>
    <phoneticPr fontId="1" type="noConversion"/>
  </si>
  <si>
    <t>【表名（英文）】必须输入</t>
    <phoneticPr fontId="1" type="noConversion"/>
  </si>
  <si>
    <t>【物理名】必须是英数字，可包含下划线</t>
    <phoneticPr fontId="1" type="noConversion"/>
  </si>
  <si>
    <t>【数据类型】必须输入</t>
    <phoneticPr fontId="1" type="noConversion"/>
  </si>
  <si>
    <t>データタイプは必要</t>
    <phoneticPr fontId="1" type="noConversion"/>
  </si>
  <si>
    <t>テーブル名(英語)は必要</t>
    <phoneticPr fontId="1" type="noConversion"/>
  </si>
  <si>
    <t>テーブル名(英語)は英数字でなければならない、アンダースコアを含めることができます</t>
    <phoneticPr fontId="1" type="noConversion"/>
  </si>
  <si>
    <t>物理名は必要</t>
    <phoneticPr fontId="1" type="noConversion"/>
  </si>
  <si>
    <t>データタイプは存在しません</t>
    <phoneticPr fontId="1" type="noConversion"/>
  </si>
  <si>
    <t>物理名は英数字でなければならない、アンダースコアを含めることができます</t>
    <phoneticPr fontId="1" type="noConversion"/>
  </si>
  <si>
    <t>特別なタイプ以外の場合、桁が入力しなければならない</t>
    <phoneticPr fontId="1" type="noConversion"/>
  </si>
  <si>
    <t>数値タイプ以外の場合、せいどは必要</t>
    <phoneticPr fontId="1" type="noConversion"/>
  </si>
  <si>
    <t>せいどは数値でなければならない</t>
    <phoneticPr fontId="1" type="noConversion"/>
  </si>
  <si>
    <t>【NULL】只能输入"N"或"Y"</t>
    <phoneticPr fontId="1" type="noConversion"/>
  </si>
  <si>
    <t>「null」は「N」または「Y」でなければならない</t>
    <phoneticPr fontId="1" type="noConversion"/>
  </si>
  <si>
    <t>桁は必要</t>
    <phoneticPr fontId="1" type="noConversion"/>
  </si>
  <si>
    <t>キーは必要</t>
    <phoneticPr fontId="1" type="noConversion"/>
  </si>
  <si>
    <t>【索引】必须是数字</t>
    <phoneticPr fontId="1" type="noConversion"/>
  </si>
  <si>
    <t>インデックスは必要</t>
    <phoneticPr fontId="1" type="noConversion"/>
  </si>
  <si>
    <t>データベース定義ファイルの種類が正しくありません</t>
    <phoneticPr fontId="1" type="noConversion"/>
  </si>
  <si>
    <t>指定したファイルの種類はTXTまたはSQLでなければならない</t>
    <phoneticPr fontId="1" type="noConversion"/>
  </si>
  <si>
    <t>エラーが発生したため、SQLを生成することができません。</t>
    <phoneticPr fontId="1" type="noConversion"/>
  </si>
  <si>
    <t>执行成功！</t>
    <phoneticPr fontId="1" type="noConversion"/>
  </si>
  <si>
    <t>実行成功！</t>
    <phoneticPr fontId="1" type="noConversion"/>
  </si>
  <si>
    <t>テーブル名は必要</t>
    <phoneticPr fontId="1" type="noConversion"/>
  </si>
  <si>
    <t>标准模板：</t>
    <phoneticPr fontId="1" type="noConversion"/>
  </si>
  <si>
    <t>https://192.168.11.222/svn/wns_pmo_svn/trunk/部门管理/IT事业部/01.设计部/05.设计管理/国内开发/设计书管理文档/设计文档_新/设计管理/DS0004_数据库定义书.xlsx</t>
    <phoneticPr fontId="1" type="noConversion"/>
  </si>
  <si>
    <t>例：</t>
    <phoneticPr fontId="1" type="noConversion"/>
  </si>
  <si>
    <t>DATE|TIMESTAMP|RAW|BLOB|LONG RAW|CLOB|NCLOB|BFILE|ROWID|NROWID</t>
    <phoneticPr fontId="1" type="noConversion"/>
  </si>
  <si>
    <t>封面|修改履历|一览|目录</t>
    <phoneticPr fontId="1" type="noConversion"/>
  </si>
  <si>
    <t>NUMBER|INTEGER|LONG|FLOAT|DECIMAL|REAL|CHAR|VARCHAR2|NCHAR|NVARCHAR2|DATE|TIMESTAMP|RAW|BLOB|LONG RAW|CLOB|NCLOB|BFILE|ROWID|NROWID|INT|BIGINT|TINYINT</t>
    <phoneticPr fontId="1" type="noConversion"/>
  </si>
  <si>
    <t>G:\Java\IDEA\projectFiles\GitHub\Long-Night\数据库设计.xlsx</t>
    <phoneticPr fontId="1" type="noConversion"/>
  </si>
  <si>
    <t>G:\Java\IDEA\projectFiles\GitHub\Long-Night\long-night.sql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</si>
</sst>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ＭＳ Ｐゴシック"/>
      <family val="2"/>
    </font>
    <font>
      <sz val="11"/>
      <name val="ＭＳ ゴシック"/>
      <family val="3"/>
    </font>
    <font>
      <sz val="11"/>
      <color theme="1"/>
      <name val="宋体"/>
      <family val="3"/>
      <charset val="134"/>
      <scheme val="minor"/>
    </font>
    <font>
      <b/>
      <sz val="10"/>
      <name val="ＭＳ Ｐゴシック"/>
      <family val="2"/>
    </font>
    <font>
      <sz val="10"/>
      <name val="ＭＳ Ｐゴシック"/>
      <family val="2"/>
    </font>
    <font>
      <sz val="9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10"/>
      <name val="宋体"/>
      <family val="3"/>
      <charset val="134"/>
    </font>
    <font>
      <b/>
      <sz val="10"/>
      <name val="ＭＳ Ｐゴシック"/>
      <family val="2"/>
      <charset val="128"/>
    </font>
    <font>
      <b/>
      <sz val="11"/>
      <color theme="1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0"/>
      <color rgb="FFFF0000"/>
      <name val="ＭＳ Ｐゴシック"/>
      <family val="2"/>
    </font>
    <font>
      <b/>
      <sz val="10"/>
      <color rgb="FFFF0000"/>
      <name val="宋体"/>
      <family val="3"/>
      <charset val="134"/>
    </font>
    <font>
      <sz val="12"/>
      <color rgb="FF0070C0"/>
      <name val="Verdana"/>
      <family val="2"/>
    </font>
    <font>
      <sz val="12"/>
      <color rgb="FF60497B"/>
      <name val="宋体"/>
      <family val="3"/>
      <charset val="134"/>
    </font>
    <font>
      <sz val="9"/>
      <color rgb="FFE46D0A"/>
      <name val="Verdana"/>
      <family val="2"/>
    </font>
    <font>
      <sz val="9"/>
      <color rgb="FFE46D0A"/>
      <name val="宋体"/>
      <family val="3"/>
      <charset val="134"/>
    </font>
    <font>
      <sz val="12"/>
      <color rgb="FF002060"/>
      <name val="Verdana"/>
      <family val="2"/>
    </font>
    <font>
      <sz val="9"/>
      <color rgb="FF60497B"/>
      <name val="Verdana"/>
      <family val="2"/>
    </font>
    <font>
      <sz val="9"/>
      <color rgb="FF60497B"/>
      <name val="宋体"/>
      <family val="3"/>
      <charset val="134"/>
    </font>
    <font>
      <sz val="12"/>
      <color rgb="FFE46D0A"/>
      <name val="Verdana"/>
      <family val="2"/>
    </font>
    <font>
      <sz val="9"/>
      <color rgb="FF002060"/>
      <name val="Verdana"/>
      <family val="2"/>
    </font>
    <font>
      <sz val="9"/>
      <color rgb="FF002060"/>
      <name val="宋体"/>
      <family val="3"/>
      <charset val="134"/>
    </font>
    <font>
      <sz val="12"/>
      <color rgb="FF002060"/>
      <name val="宋体"/>
      <family val="3"/>
      <charset val="134"/>
    </font>
    <font>
      <sz val="12"/>
      <color rgb="FFE46D0A"/>
      <name val="宋体"/>
      <family val="3"/>
      <charset val="134"/>
    </font>
    <font>
      <sz val="11"/>
      <color rgb="FF000000"/>
      <name val="宋体"/>
      <family val="3"/>
      <charset val="134"/>
    </font>
    <font>
      <u/>
      <sz val="11"/>
      <color theme="10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rgb="FFC0C0C0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0C0C0"/>
      </top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 style="medium">
        <color rgb="FFC0C0C0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 style="medium">
        <color indexed="64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indexed="64"/>
      </top>
      <bottom style="medium">
        <color rgb="FFC0C0C0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C0C0C0"/>
      </bottom>
      <diagonal/>
    </border>
    <border>
      <left/>
      <right/>
      <top/>
      <bottom style="medium">
        <color rgb="FFC0C0C0"/>
      </bottom>
      <diagonal/>
    </border>
    <border>
      <left/>
      <right style="medium">
        <color rgb="FFC0C0C0"/>
      </right>
      <top/>
      <bottom style="medium">
        <color rgb="FFC0C0C0"/>
      </bottom>
      <diagonal/>
    </border>
    <border>
      <left style="medium">
        <color rgb="FFC0C0C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/>
      <bottom style="medium">
        <color rgb="FF000000"/>
      </bottom>
      <diagonal/>
    </border>
  </borders>
  <cellStyleXfs count="7">
    <xf numFmtId="0" fontId="0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/>
    <xf numFmtId="0" fontId="4" fillId="0" borderId="0"/>
    <xf numFmtId="0" fontId="2" fillId="0" borderId="0"/>
    <xf numFmtId="0" fontId="28" fillId="0" borderId="0" applyNumberForma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Fill="1">
      <alignment vertical="center"/>
    </xf>
    <xf numFmtId="0" fontId="8" fillId="0" borderId="0" xfId="0" applyFont="1">
      <alignment vertical="center"/>
    </xf>
    <xf numFmtId="0" fontId="6" fillId="5" borderId="1" xfId="2" applyFont="1" applyFill="1" applyBorder="1">
      <alignment vertical="center"/>
    </xf>
    <xf numFmtId="49" fontId="0" fillId="0" borderId="1" xfId="0" applyNumberFormat="1" applyBorder="1">
      <alignment vertical="center"/>
    </xf>
    <xf numFmtId="0" fontId="5" fillId="5" borderId="1" xfId="2" applyFont="1" applyFill="1" applyBorder="1" applyAlignment="1">
      <alignment horizontal="center" vertical="center"/>
    </xf>
    <xf numFmtId="0" fontId="5" fillId="5" borderId="5" xfId="2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5" fillId="4" borderId="6" xfId="2" applyFont="1" applyFill="1" applyBorder="1" applyAlignment="1">
      <alignment horizontal="center" vertical="center"/>
    </xf>
    <xf numFmtId="0" fontId="9" fillId="4" borderId="6" xfId="2" applyFont="1" applyFill="1" applyBorder="1" applyAlignment="1">
      <alignment horizontal="center" vertical="center"/>
    </xf>
    <xf numFmtId="0" fontId="10" fillId="4" borderId="6" xfId="2" applyFont="1" applyFill="1" applyBorder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15" fillId="6" borderId="11" xfId="0" applyFont="1" applyFill="1" applyBorder="1" applyAlignment="1">
      <alignment vertical="center" wrapText="1"/>
    </xf>
    <xf numFmtId="0" fontId="16" fillId="6" borderId="7" xfId="0" applyFont="1" applyFill="1" applyBorder="1" applyAlignment="1">
      <alignment vertical="center" wrapText="1"/>
    </xf>
    <xf numFmtId="0" fontId="17" fillId="6" borderId="7" xfId="0" applyFont="1" applyFill="1" applyBorder="1" applyAlignment="1">
      <alignment vertical="center" wrapText="1"/>
    </xf>
    <xf numFmtId="0" fontId="19" fillId="6" borderId="12" xfId="0" applyFont="1" applyFill="1" applyBorder="1" applyAlignment="1">
      <alignment vertical="center" wrapText="1"/>
    </xf>
    <xf numFmtId="0" fontId="26" fillId="6" borderId="7" xfId="0" applyFont="1" applyFill="1" applyBorder="1" applyAlignment="1">
      <alignment vertical="center" wrapText="1"/>
    </xf>
    <xf numFmtId="0" fontId="18" fillId="6" borderId="7" xfId="0" applyFont="1" applyFill="1" applyBorder="1" applyAlignment="1">
      <alignment vertical="center" wrapText="1"/>
    </xf>
    <xf numFmtId="0" fontId="15" fillId="6" borderId="13" xfId="0" applyFont="1" applyFill="1" applyBorder="1" applyAlignment="1">
      <alignment vertical="center" wrapText="1"/>
    </xf>
    <xf numFmtId="0" fontId="16" fillId="6" borderId="14" xfId="0" applyFont="1" applyFill="1" applyBorder="1" applyAlignment="1">
      <alignment vertical="center" wrapText="1"/>
    </xf>
    <xf numFmtId="0" fontId="0" fillId="6" borderId="15" xfId="0" applyFill="1" applyBorder="1">
      <alignment vertical="center"/>
    </xf>
    <xf numFmtId="0" fontId="0" fillId="6" borderId="16" xfId="0" applyFill="1" applyBorder="1">
      <alignment vertical="center"/>
    </xf>
    <xf numFmtId="0" fontId="15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8" fillId="6" borderId="18" xfId="0" applyFont="1" applyFill="1" applyBorder="1" applyAlignment="1">
      <alignment vertical="center" wrapText="1"/>
    </xf>
    <xf numFmtId="0" fontId="19" fillId="6" borderId="19" xfId="0" applyFont="1" applyFill="1" applyBorder="1" applyAlignment="1">
      <alignment vertical="center" wrapText="1"/>
    </xf>
    <xf numFmtId="0" fontId="21" fillId="6" borderId="7" xfId="0" applyFont="1" applyFill="1" applyBorder="1" applyAlignment="1">
      <alignment vertical="center" wrapText="1"/>
    </xf>
    <xf numFmtId="0" fontId="24" fillId="6" borderId="12" xfId="0" applyFont="1" applyFill="1" applyBorder="1" applyAlignment="1">
      <alignment vertical="center" wrapText="1"/>
    </xf>
    <xf numFmtId="0" fontId="22" fillId="6" borderId="7" xfId="0" applyFont="1" applyFill="1" applyBorder="1" applyAlignment="1">
      <alignment vertical="center" wrapText="1"/>
    </xf>
    <xf numFmtId="0" fontId="15" fillId="6" borderId="8" xfId="0" applyFont="1" applyFill="1" applyBorder="1" applyAlignment="1">
      <alignment vertical="center" wrapText="1"/>
    </xf>
    <xf numFmtId="0" fontId="16" fillId="6" borderId="9" xfId="0" applyFont="1" applyFill="1" applyBorder="1" applyAlignment="1">
      <alignment vertical="center" wrapText="1"/>
    </xf>
    <xf numFmtId="0" fontId="18" fillId="6" borderId="9" xfId="0" applyFont="1" applyFill="1" applyBorder="1" applyAlignment="1">
      <alignment vertical="center" wrapText="1"/>
    </xf>
    <xf numFmtId="0" fontId="25" fillId="6" borderId="10" xfId="0" applyFont="1" applyFill="1" applyBorder="1" applyAlignment="1">
      <alignment vertical="center" wrapText="1"/>
    </xf>
    <xf numFmtId="0" fontId="25" fillId="6" borderId="12" xfId="0" applyFont="1" applyFill="1" applyBorder="1" applyAlignment="1">
      <alignment vertical="center" wrapText="1"/>
    </xf>
    <xf numFmtId="0" fontId="23" fillId="6" borderId="12" xfId="0" applyFont="1" applyFill="1" applyBorder="1" applyAlignment="1">
      <alignment vertical="center" wrapText="1"/>
    </xf>
    <xf numFmtId="0" fontId="18" fillId="6" borderId="14" xfId="0" applyFont="1" applyFill="1" applyBorder="1" applyAlignment="1">
      <alignment vertical="center" wrapText="1"/>
    </xf>
    <xf numFmtId="0" fontId="0" fillId="0" borderId="1" xfId="0" applyFill="1" applyBorder="1">
      <alignment vertical="center"/>
    </xf>
    <xf numFmtId="0" fontId="8" fillId="0" borderId="2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8" fillId="0" borderId="0" xfId="6">
      <alignment vertical="center"/>
    </xf>
    <xf numFmtId="0" fontId="0" fillId="0" borderId="0" xfId="0" applyAlignment="1">
      <alignment horizontal="right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</cellXfs>
  <cellStyles count="7">
    <cellStyle name="標準 12" xfId="5"/>
    <cellStyle name="標準 14" xfId="4"/>
    <cellStyle name="標準 7" xfId="2"/>
    <cellStyle name="標準_ヘッダたち" xfId="1"/>
    <cellStyle name="常规" xfId="0" builtinId="0"/>
    <cellStyle name="常规 2" xfId="3"/>
    <cellStyle name="超链接" xfId="6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19050</xdr:rowOff>
        </xdr:from>
        <xdr:to>
          <xdr:col>4</xdr:col>
          <xdr:colOff>9525</xdr:colOff>
          <xdr:row>2</xdr:row>
          <xdr:rowOff>361950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9525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7</xdr:row>
          <xdr:rowOff>47625</xdr:rowOff>
        </xdr:from>
        <xdr:to>
          <xdr:col>1</xdr:col>
          <xdr:colOff>4838700</xdr:colOff>
          <xdr:row>9</xdr:row>
          <xdr:rowOff>123825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执行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112</xdr:row>
      <xdr:rowOff>0</xdr:rowOff>
    </xdr:from>
    <xdr:to>
      <xdr:col>16</xdr:col>
      <xdr:colOff>85725</xdr:colOff>
      <xdr:row>135</xdr:row>
      <xdr:rowOff>9031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11658600"/>
          <a:ext cx="10372725" cy="39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15</xdr:col>
      <xdr:colOff>236896</xdr:colOff>
      <xdr:row>70</xdr:row>
      <xdr:rowOff>85436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342900"/>
          <a:ext cx="9838096" cy="2314286"/>
        </a:xfrm>
        <a:prstGeom prst="rect">
          <a:avLst/>
        </a:prstGeom>
      </xdr:spPr>
    </xdr:pic>
    <xdr:clientData/>
  </xdr:twoCellAnchor>
  <xdr:twoCellAnchor>
    <xdr:from>
      <xdr:col>13</xdr:col>
      <xdr:colOff>228600</xdr:colOff>
      <xdr:row>61</xdr:row>
      <xdr:rowOff>171449</xdr:rowOff>
    </xdr:from>
    <xdr:to>
      <xdr:col>15</xdr:col>
      <xdr:colOff>609600</xdr:colOff>
      <xdr:row>64</xdr:row>
      <xdr:rowOff>133350</xdr:rowOff>
    </xdr:to>
    <xdr:sp macro="" textlink="">
      <xdr:nvSpPr>
        <xdr:cNvPr id="5" name="左箭头 4"/>
        <xdr:cNvSpPr/>
      </xdr:nvSpPr>
      <xdr:spPr>
        <a:xfrm>
          <a:off x="9144000" y="4286249"/>
          <a:ext cx="1752600" cy="476251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24</xdr:col>
      <xdr:colOff>131363</xdr:colOff>
      <xdr:row>98</xdr:row>
      <xdr:rowOff>95110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0" y="6000750"/>
          <a:ext cx="15904763" cy="1123810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62</xdr:row>
      <xdr:rowOff>104775</xdr:rowOff>
    </xdr:from>
    <xdr:to>
      <xdr:col>23</xdr:col>
      <xdr:colOff>371475</xdr:colOff>
      <xdr:row>66</xdr:row>
      <xdr:rowOff>38100</xdr:rowOff>
    </xdr:to>
    <xdr:sp macro="" textlink="">
      <xdr:nvSpPr>
        <xdr:cNvPr id="9" name="矩形 8"/>
        <xdr:cNvSpPr/>
      </xdr:nvSpPr>
      <xdr:spPr>
        <a:xfrm>
          <a:off x="10982325" y="4391025"/>
          <a:ext cx="5162550" cy="6191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314325</xdr:colOff>
      <xdr:row>100</xdr:row>
      <xdr:rowOff>76200</xdr:rowOff>
    </xdr:from>
    <xdr:to>
      <xdr:col>8</xdr:col>
      <xdr:colOff>676275</xdr:colOff>
      <xdr:row>104</xdr:row>
      <xdr:rowOff>9525</xdr:rowOff>
    </xdr:to>
    <xdr:sp macro="" textlink="">
      <xdr:nvSpPr>
        <xdr:cNvPr id="10" name="矩形 9"/>
        <xdr:cNvSpPr/>
      </xdr:nvSpPr>
      <xdr:spPr>
        <a:xfrm>
          <a:off x="1000125" y="7448550"/>
          <a:ext cx="5162550" cy="6191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238125</xdr:colOff>
      <xdr:row>95</xdr:row>
      <xdr:rowOff>95250</xdr:rowOff>
    </xdr:from>
    <xdr:to>
      <xdr:col>2</xdr:col>
      <xdr:colOff>571500</xdr:colOff>
      <xdr:row>100</xdr:row>
      <xdr:rowOff>0</xdr:rowOff>
    </xdr:to>
    <xdr:sp macro="" textlink="">
      <xdr:nvSpPr>
        <xdr:cNvPr id="11" name="上箭头 10"/>
        <xdr:cNvSpPr/>
      </xdr:nvSpPr>
      <xdr:spPr>
        <a:xfrm>
          <a:off x="1609725" y="6610350"/>
          <a:ext cx="333375" cy="762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9524</xdr:colOff>
      <xdr:row>92</xdr:row>
      <xdr:rowOff>47625</xdr:rowOff>
    </xdr:from>
    <xdr:to>
      <xdr:col>13</xdr:col>
      <xdr:colOff>266699</xdr:colOff>
      <xdr:row>95</xdr:row>
      <xdr:rowOff>57150</xdr:rowOff>
    </xdr:to>
    <xdr:sp macro="" textlink="">
      <xdr:nvSpPr>
        <xdr:cNvPr id="12" name="矩形 11"/>
        <xdr:cNvSpPr/>
      </xdr:nvSpPr>
      <xdr:spPr>
        <a:xfrm>
          <a:off x="695324" y="6048375"/>
          <a:ext cx="8486775" cy="5238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266699</xdr:colOff>
      <xdr:row>94</xdr:row>
      <xdr:rowOff>57150</xdr:rowOff>
    </xdr:from>
    <xdr:to>
      <xdr:col>24</xdr:col>
      <xdr:colOff>76200</xdr:colOff>
      <xdr:row>95</xdr:row>
      <xdr:rowOff>76200</xdr:rowOff>
    </xdr:to>
    <xdr:sp macro="" textlink="">
      <xdr:nvSpPr>
        <xdr:cNvPr id="13" name="矩形 12"/>
        <xdr:cNvSpPr/>
      </xdr:nvSpPr>
      <xdr:spPr>
        <a:xfrm>
          <a:off x="9182099" y="6400800"/>
          <a:ext cx="7353301" cy="190500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209550</xdr:colOff>
      <xdr:row>95</xdr:row>
      <xdr:rowOff>95250</xdr:rowOff>
    </xdr:from>
    <xdr:to>
      <xdr:col>18</xdr:col>
      <xdr:colOff>542925</xdr:colOff>
      <xdr:row>100</xdr:row>
      <xdr:rowOff>0</xdr:rowOff>
    </xdr:to>
    <xdr:sp macro="" textlink="">
      <xdr:nvSpPr>
        <xdr:cNvPr id="14" name="上箭头 13"/>
        <xdr:cNvSpPr/>
      </xdr:nvSpPr>
      <xdr:spPr>
        <a:xfrm>
          <a:off x="12553950" y="6610350"/>
          <a:ext cx="333375" cy="762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428625</xdr:colOff>
      <xdr:row>100</xdr:row>
      <xdr:rowOff>47625</xdr:rowOff>
    </xdr:from>
    <xdr:to>
      <xdr:col>22</xdr:col>
      <xdr:colOff>104775</xdr:colOff>
      <xdr:row>103</xdr:row>
      <xdr:rowOff>152400</xdr:rowOff>
    </xdr:to>
    <xdr:sp macro="" textlink="">
      <xdr:nvSpPr>
        <xdr:cNvPr id="15" name="矩形 14"/>
        <xdr:cNvSpPr/>
      </xdr:nvSpPr>
      <xdr:spPr>
        <a:xfrm>
          <a:off x="10029825" y="7419975"/>
          <a:ext cx="5162550" cy="619125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323850</xdr:colOff>
      <xdr:row>95</xdr:row>
      <xdr:rowOff>66675</xdr:rowOff>
    </xdr:from>
    <xdr:to>
      <xdr:col>31</xdr:col>
      <xdr:colOff>657225</xdr:colOff>
      <xdr:row>99</xdr:row>
      <xdr:rowOff>142875</xdr:rowOff>
    </xdr:to>
    <xdr:sp macro="" textlink="">
      <xdr:nvSpPr>
        <xdr:cNvPr id="16" name="上箭头 15"/>
        <xdr:cNvSpPr/>
      </xdr:nvSpPr>
      <xdr:spPr>
        <a:xfrm>
          <a:off x="21583650" y="6581775"/>
          <a:ext cx="333375" cy="762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676275</xdr:colOff>
      <xdr:row>119</xdr:row>
      <xdr:rowOff>19050</xdr:rowOff>
    </xdr:from>
    <xdr:to>
      <xdr:col>17</xdr:col>
      <xdr:colOff>504825</xdr:colOff>
      <xdr:row>123</xdr:row>
      <xdr:rowOff>38100</xdr:rowOff>
    </xdr:to>
    <xdr:sp macro="" textlink="">
      <xdr:nvSpPr>
        <xdr:cNvPr id="18" name="左箭头 17"/>
        <xdr:cNvSpPr/>
      </xdr:nvSpPr>
      <xdr:spPr>
        <a:xfrm>
          <a:off x="10963275" y="10648950"/>
          <a:ext cx="1200150" cy="7048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600075</xdr:colOff>
      <xdr:row>114</xdr:row>
      <xdr:rowOff>161925</xdr:rowOff>
    </xdr:from>
    <xdr:to>
      <xdr:col>22</xdr:col>
      <xdr:colOff>76200</xdr:colOff>
      <xdr:row>127</xdr:row>
      <xdr:rowOff>114300</xdr:rowOff>
    </xdr:to>
    <xdr:sp macro="" textlink="">
      <xdr:nvSpPr>
        <xdr:cNvPr id="19" name="矩形 18"/>
        <xdr:cNvSpPr/>
      </xdr:nvSpPr>
      <xdr:spPr>
        <a:xfrm>
          <a:off x="12258675" y="9934575"/>
          <a:ext cx="2905125" cy="2181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8</xdr:col>
      <xdr:colOff>608924</xdr:colOff>
      <xdr:row>88</xdr:row>
      <xdr:rowOff>56822</xdr:rowOff>
    </xdr:to>
    <xdr:pic>
      <xdr:nvPicPr>
        <xdr:cNvPr id="21" name="图片 2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00" y="4286250"/>
          <a:ext cx="5409524" cy="2628572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75</xdr:row>
      <xdr:rowOff>27108</xdr:rowOff>
    </xdr:from>
    <xdr:to>
      <xdr:col>11</xdr:col>
      <xdr:colOff>381000</xdr:colOff>
      <xdr:row>79</xdr:row>
      <xdr:rowOff>161925</xdr:rowOff>
    </xdr:to>
    <xdr:sp macro="" textlink="">
      <xdr:nvSpPr>
        <xdr:cNvPr id="22" name="左箭头 21"/>
        <xdr:cNvSpPr/>
      </xdr:nvSpPr>
      <xdr:spPr>
        <a:xfrm>
          <a:off x="6172200" y="4999158"/>
          <a:ext cx="1752600" cy="820617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466725</xdr:colOff>
      <xdr:row>75</xdr:row>
      <xdr:rowOff>28576</xdr:rowOff>
    </xdr:from>
    <xdr:to>
      <xdr:col>19</xdr:col>
      <xdr:colOff>142875</xdr:colOff>
      <xdr:row>81</xdr:row>
      <xdr:rowOff>66676</xdr:rowOff>
    </xdr:to>
    <xdr:sp macro="" textlink="">
      <xdr:nvSpPr>
        <xdr:cNvPr id="23" name="矩形 22"/>
        <xdr:cNvSpPr/>
      </xdr:nvSpPr>
      <xdr:spPr>
        <a:xfrm>
          <a:off x="8010525" y="5000626"/>
          <a:ext cx="5162550" cy="1066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19</xdr:col>
      <xdr:colOff>312744</xdr:colOff>
      <xdr:row>174</xdr:row>
      <xdr:rowOff>27822</xdr:rowOff>
    </xdr:to>
    <xdr:pic>
      <xdr:nvPicPr>
        <xdr:cNvPr id="24" name="图片 2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5800" y="15944850"/>
          <a:ext cx="12657144" cy="6028572"/>
        </a:xfrm>
        <a:prstGeom prst="rect">
          <a:avLst/>
        </a:prstGeom>
      </xdr:spPr>
    </xdr:pic>
    <xdr:clientData/>
  </xdr:twoCellAnchor>
  <xdr:twoCellAnchor>
    <xdr:from>
      <xdr:col>10</xdr:col>
      <xdr:colOff>495299</xdr:colOff>
      <xdr:row>141</xdr:row>
      <xdr:rowOff>66675</xdr:rowOff>
    </xdr:from>
    <xdr:to>
      <xdr:col>19</xdr:col>
      <xdr:colOff>104774</xdr:colOff>
      <xdr:row>143</xdr:row>
      <xdr:rowOff>104775</xdr:rowOff>
    </xdr:to>
    <xdr:sp macro="" textlink="">
      <xdr:nvSpPr>
        <xdr:cNvPr id="25" name="左箭头 24"/>
        <xdr:cNvSpPr/>
      </xdr:nvSpPr>
      <xdr:spPr>
        <a:xfrm>
          <a:off x="7353299" y="16354425"/>
          <a:ext cx="5781675" cy="3810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276225</xdr:colOff>
      <xdr:row>141</xdr:row>
      <xdr:rowOff>9526</xdr:rowOff>
    </xdr:from>
    <xdr:to>
      <xdr:col>10</xdr:col>
      <xdr:colOff>457200</xdr:colOff>
      <xdr:row>144</xdr:row>
      <xdr:rowOff>28576</xdr:rowOff>
    </xdr:to>
    <xdr:sp macro="" textlink="">
      <xdr:nvSpPr>
        <xdr:cNvPr id="26" name="矩形 25"/>
        <xdr:cNvSpPr/>
      </xdr:nvSpPr>
      <xdr:spPr>
        <a:xfrm>
          <a:off x="962025" y="16297276"/>
          <a:ext cx="6353175" cy="5334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476250</xdr:colOff>
      <xdr:row>140</xdr:row>
      <xdr:rowOff>47625</xdr:rowOff>
    </xdr:from>
    <xdr:to>
      <xdr:col>23</xdr:col>
      <xdr:colOff>666750</xdr:colOff>
      <xdr:row>147</xdr:row>
      <xdr:rowOff>19050</xdr:rowOff>
    </xdr:to>
    <xdr:sp macro="" textlink="">
      <xdr:nvSpPr>
        <xdr:cNvPr id="27" name="矩形 26"/>
        <xdr:cNvSpPr/>
      </xdr:nvSpPr>
      <xdr:spPr>
        <a:xfrm>
          <a:off x="13506450" y="16163925"/>
          <a:ext cx="2933700" cy="11715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276225</xdr:colOff>
      <xdr:row>144</xdr:row>
      <xdr:rowOff>38101</xdr:rowOff>
    </xdr:from>
    <xdr:to>
      <xdr:col>10</xdr:col>
      <xdr:colOff>457200</xdr:colOff>
      <xdr:row>145</xdr:row>
      <xdr:rowOff>47625</xdr:rowOff>
    </xdr:to>
    <xdr:sp macro="" textlink="">
      <xdr:nvSpPr>
        <xdr:cNvPr id="28" name="矩形 27"/>
        <xdr:cNvSpPr/>
      </xdr:nvSpPr>
      <xdr:spPr>
        <a:xfrm>
          <a:off x="962025" y="16840201"/>
          <a:ext cx="6353175" cy="180974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381001</xdr:colOff>
      <xdr:row>145</xdr:row>
      <xdr:rowOff>95250</xdr:rowOff>
    </xdr:from>
    <xdr:to>
      <xdr:col>8</xdr:col>
      <xdr:colOff>66675</xdr:colOff>
      <xdr:row>176</xdr:row>
      <xdr:rowOff>19050</xdr:rowOff>
    </xdr:to>
    <xdr:sp macro="" textlink="">
      <xdr:nvSpPr>
        <xdr:cNvPr id="33" name="上箭头 32"/>
        <xdr:cNvSpPr/>
      </xdr:nvSpPr>
      <xdr:spPr>
        <a:xfrm>
          <a:off x="5181601" y="17068800"/>
          <a:ext cx="371474" cy="523875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390525</xdr:colOff>
      <xdr:row>176</xdr:row>
      <xdr:rowOff>38100</xdr:rowOff>
    </xdr:from>
    <xdr:to>
      <xdr:col>10</xdr:col>
      <xdr:colOff>390525</xdr:colOff>
      <xdr:row>179</xdr:row>
      <xdr:rowOff>28575</xdr:rowOff>
    </xdr:to>
    <xdr:sp macro="" textlink="">
      <xdr:nvSpPr>
        <xdr:cNvPr id="34" name="矩形 33"/>
        <xdr:cNvSpPr/>
      </xdr:nvSpPr>
      <xdr:spPr>
        <a:xfrm>
          <a:off x="3819525" y="22326600"/>
          <a:ext cx="3429000" cy="5048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13</xdr:col>
      <xdr:colOff>437067</xdr:colOff>
      <xdr:row>54</xdr:row>
      <xdr:rowOff>113386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85800" y="1885950"/>
          <a:ext cx="8666667" cy="73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192.168.11.222/svn/wns_pmo_svn/trunk/&#37096;&#38376;&#31649;&#29702;/IT&#20107;&#19994;&#37096;/01.&#35774;&#35745;&#37096;/05.&#35774;&#35745;&#31649;&#29702;/&#22269;&#20869;&#24320;&#21457;/&#35774;&#35745;&#20070;&#31649;&#29702;&#25991;&#26723;/&#35774;&#35745;&#25991;&#26723;_&#26032;/&#35774;&#35745;&#31649;&#29702;/DS0004_&#25968;&#25454;&#24211;&#23450;&#20041;&#20070;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B5"/>
  <sheetViews>
    <sheetView tabSelected="1" zoomScaleNormal="100" workbookViewId="0">
      <selection activeCell="B19" sqref="B19"/>
    </sheetView>
  </sheetViews>
  <sheetFormatPr defaultRowHeight="13.5"/>
  <cols>
    <col min="1" max="1" width="37.375" customWidth="1"/>
    <col min="2" max="2" width="73.125" customWidth="1"/>
    <col min="5" max="5" width="21.875" customWidth="1"/>
    <col min="6" max="6" width="16.75" customWidth="1"/>
  </cols>
  <sheetData>
    <row r="3" spans="1:2" ht="33.75" customHeight="1">
      <c r="A3" s="14" t="s">
        <v>87</v>
      </c>
      <c r="B3" s="1" t="s">
        <v>193</v>
      </c>
    </row>
    <row r="4" spans="1:2" ht="27" customHeight="1">
      <c r="A4" s="14" t="s">
        <v>18</v>
      </c>
      <c r="B4" s="1" t="s">
        <v>194</v>
      </c>
    </row>
    <row r="5" spans="1:2" ht="27.75" customHeight="1">
      <c r="A5" s="14" t="s">
        <v>77</v>
      </c>
      <c r="B5" s="1" t="s">
        <v>94</v>
      </c>
    </row>
  </sheetData>
  <phoneticPr fontId="1" type="noConversion"/>
  <dataValidations count="1">
    <dataValidation type="list" allowBlank="1" showInputMessage="1" showErrorMessage="1" sqref="B5">
      <formula1>"N,Y"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hisWorkbook.selectInputDir">
                <anchor moveWithCells="1" sizeWithCells="1">
                  <from>
                    <xdr:col>2</xdr:col>
                    <xdr:colOff>19050</xdr:colOff>
                    <xdr:row>2</xdr:row>
                    <xdr:rowOff>19050</xdr:rowOff>
                  </from>
                  <to>
                    <xdr:col>4</xdr:col>
                    <xdr:colOff>9525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ThisWorkbook.selectOutputDir">
                <anchor moveWithCells="1" sizeWithCells="1">
                  <from>
                    <xdr:col>2</xdr:col>
                    <xdr:colOff>19050</xdr:colOff>
                    <xdr:row>3</xdr:row>
                    <xdr:rowOff>9525</xdr:rowOff>
                  </from>
                  <to>
                    <xdr:col>3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createMysqlSql">
                <anchor moveWithCells="1" sizeWithCells="1">
                  <from>
                    <xdr:col>1</xdr:col>
                    <xdr:colOff>342900</xdr:colOff>
                    <xdr:row>7</xdr:row>
                    <xdr:rowOff>47625</xdr:rowOff>
                  </from>
                  <to>
                    <xdr:col>1</xdr:col>
                    <xdr:colOff>4838700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0"/>
  <sheetViews>
    <sheetView topLeftCell="B1" workbookViewId="0">
      <selection activeCell="L39" sqref="L39"/>
    </sheetView>
  </sheetViews>
  <sheetFormatPr defaultRowHeight="13.5"/>
  <cols>
    <col min="2" max="2" width="15" customWidth="1"/>
    <col min="5" max="5" width="15.625" customWidth="1"/>
    <col min="12" max="12" width="127" customWidth="1"/>
  </cols>
  <sheetData>
    <row r="1" spans="1:12" s="2" customFormat="1">
      <c r="A1" s="48" t="s">
        <v>16</v>
      </c>
      <c r="B1" s="49"/>
      <c r="C1" s="49"/>
      <c r="D1" s="49"/>
      <c r="E1" s="49"/>
      <c r="F1" s="49"/>
      <c r="G1" s="49"/>
      <c r="H1" s="49"/>
      <c r="I1" s="49"/>
      <c r="J1" s="49"/>
      <c r="K1" s="50"/>
      <c r="L1" s="7" t="s">
        <v>17</v>
      </c>
    </row>
    <row r="2" spans="1:12">
      <c r="A2" s="9" t="s">
        <v>5</v>
      </c>
      <c r="B2" s="10" t="s">
        <v>7</v>
      </c>
      <c r="C2" s="8" t="s">
        <v>8</v>
      </c>
      <c r="D2" s="11" t="s">
        <v>9</v>
      </c>
      <c r="E2" s="11" t="s">
        <v>10</v>
      </c>
      <c r="F2" s="12" t="s">
        <v>11</v>
      </c>
      <c r="G2" s="12" t="s">
        <v>12</v>
      </c>
      <c r="H2" s="13" t="s">
        <v>13</v>
      </c>
      <c r="I2" s="12" t="s">
        <v>0</v>
      </c>
      <c r="J2" s="11" t="s">
        <v>14</v>
      </c>
      <c r="K2" s="11" t="s">
        <v>15</v>
      </c>
      <c r="L2" s="6" t="s">
        <v>6</v>
      </c>
    </row>
    <row r="3" spans="1:12">
      <c r="A3" s="1">
        <f>ROW()-2</f>
        <v>1</v>
      </c>
      <c r="B3" s="1" t="s">
        <v>1</v>
      </c>
      <c r="C3" s="1"/>
      <c r="D3" s="1">
        <v>1</v>
      </c>
      <c r="E3" s="5" t="s">
        <v>2</v>
      </c>
      <c r="F3" s="1">
        <v>1</v>
      </c>
      <c r="G3" s="5">
        <v>500000</v>
      </c>
      <c r="H3" s="1" t="s">
        <v>3</v>
      </c>
      <c r="I3" s="5">
        <v>20</v>
      </c>
      <c r="J3" s="1" t="s">
        <v>4</v>
      </c>
      <c r="K3" s="1" t="s">
        <v>4</v>
      </c>
      <c r="L3" s="4" t="str">
        <f>IF(B3 = "","","CREATE SEQUENCE SEQ_" &amp; B3 &amp; "  MINVALUE "&amp;D3&amp;" MAXVALUE " &amp; E3 &amp;" INCREMENT BY " &amp; F3 &amp; " START WITH " &amp;G3 &amp; IF(H3 ="是", " CACHE " &amp; I3," NOCACHE ")&amp;IF(J3 = "是"," CYCLE  "," NOCYCLE  ") &amp; IF(K3 = "是","ORDER;","NOORDER;"))</f>
        <v>CREATE SEQUENCE SEQ_EXPENSE_ITEMS  MINVALUE 1 MAXVALUE 9999999999999999999999999999 INCREMENT BY 1 START WITH 500000 CACHE 20 NOCYCLE  NOORDER;</v>
      </c>
    </row>
    <row r="4" spans="1:12">
      <c r="A4" s="1">
        <f t="shared" ref="A4:A30" si="0">ROW()-2</f>
        <v>2</v>
      </c>
      <c r="B4" s="1"/>
      <c r="C4" s="1"/>
      <c r="D4" s="1"/>
      <c r="E4" s="5"/>
      <c r="F4" s="1"/>
      <c r="G4" s="5"/>
      <c r="H4" s="1"/>
      <c r="I4" s="5"/>
      <c r="J4" s="1"/>
      <c r="K4" s="1"/>
      <c r="L4" s="4" t="str">
        <f t="shared" ref="L4:L30" si="1">IF(B4 = "","","CREATE SEQUENCE SEQ_" &amp; B4 &amp; "  MINVALUE "&amp;D4&amp;" MAXVALUE " &amp; E4 &amp;" INCREMENT BY " &amp; F4 &amp; " START WITH " &amp;G4 &amp; IF(H4 ="是", " CACHE " &amp; I4," NOCACHE ")&amp;IF(J4 = "是"," CYCLE  "," NOCYCLE  ") &amp; IF(K4 = "是","ORDER;","NOORDER;"))</f>
        <v/>
      </c>
    </row>
    <row r="5" spans="1:12">
      <c r="A5" s="1">
        <f t="shared" si="0"/>
        <v>3</v>
      </c>
      <c r="B5" s="1"/>
      <c r="C5" s="1"/>
      <c r="D5" s="1"/>
      <c r="E5" s="5"/>
      <c r="F5" s="1"/>
      <c r="G5" s="5"/>
      <c r="H5" s="1"/>
      <c r="I5" s="5"/>
      <c r="J5" s="1"/>
      <c r="K5" s="1"/>
      <c r="L5" s="4" t="str">
        <f t="shared" si="1"/>
        <v/>
      </c>
    </row>
    <row r="6" spans="1:12">
      <c r="A6" s="1">
        <f t="shared" si="0"/>
        <v>4</v>
      </c>
      <c r="B6" s="1"/>
      <c r="C6" s="1"/>
      <c r="D6" s="1"/>
      <c r="E6" s="5"/>
      <c r="F6" s="1"/>
      <c r="G6" s="5"/>
      <c r="H6" s="1"/>
      <c r="I6" s="5"/>
      <c r="J6" s="1"/>
      <c r="K6" s="1"/>
      <c r="L6" s="4" t="str">
        <f t="shared" si="1"/>
        <v/>
      </c>
    </row>
    <row r="7" spans="1:12">
      <c r="A7" s="1">
        <f t="shared" si="0"/>
        <v>5</v>
      </c>
      <c r="B7" s="1"/>
      <c r="C7" s="1"/>
      <c r="D7" s="1"/>
      <c r="E7" s="5"/>
      <c r="F7" s="1"/>
      <c r="G7" s="5"/>
      <c r="H7" s="1"/>
      <c r="I7" s="5"/>
      <c r="J7" s="1"/>
      <c r="K7" s="1"/>
      <c r="L7" s="4" t="str">
        <f t="shared" si="1"/>
        <v/>
      </c>
    </row>
    <row r="8" spans="1:12">
      <c r="A8" s="1">
        <f t="shared" si="0"/>
        <v>6</v>
      </c>
      <c r="B8" s="1"/>
      <c r="C8" s="1"/>
      <c r="D8" s="1"/>
      <c r="E8" s="5"/>
      <c r="F8" s="1"/>
      <c r="G8" s="5"/>
      <c r="H8" s="1"/>
      <c r="I8" s="5"/>
      <c r="J8" s="1"/>
      <c r="K8" s="1"/>
      <c r="L8" s="4" t="str">
        <f t="shared" si="1"/>
        <v/>
      </c>
    </row>
    <row r="9" spans="1:12">
      <c r="A9" s="1">
        <f t="shared" si="0"/>
        <v>7</v>
      </c>
      <c r="B9" s="1"/>
      <c r="C9" s="1"/>
      <c r="D9" s="1"/>
      <c r="E9" s="5"/>
      <c r="F9" s="1"/>
      <c r="G9" s="5"/>
      <c r="H9" s="1"/>
      <c r="I9" s="5"/>
      <c r="J9" s="1"/>
      <c r="K9" s="1"/>
      <c r="L9" s="4" t="str">
        <f t="shared" si="1"/>
        <v/>
      </c>
    </row>
    <row r="10" spans="1:12">
      <c r="A10" s="1">
        <f t="shared" si="0"/>
        <v>8</v>
      </c>
      <c r="B10" s="1"/>
      <c r="C10" s="1"/>
      <c r="D10" s="1"/>
      <c r="E10" s="5"/>
      <c r="F10" s="1"/>
      <c r="G10" s="5"/>
      <c r="H10" s="1"/>
      <c r="I10" s="5"/>
      <c r="J10" s="1"/>
      <c r="K10" s="1"/>
      <c r="L10" s="4" t="str">
        <f t="shared" si="1"/>
        <v/>
      </c>
    </row>
    <row r="11" spans="1:12">
      <c r="A11" s="1">
        <f t="shared" si="0"/>
        <v>9</v>
      </c>
      <c r="B11" s="1"/>
      <c r="C11" s="1"/>
      <c r="D11" s="1"/>
      <c r="E11" s="5"/>
      <c r="F11" s="1"/>
      <c r="G11" s="5"/>
      <c r="H11" s="1"/>
      <c r="I11" s="5"/>
      <c r="J11" s="1"/>
      <c r="K11" s="1"/>
      <c r="L11" s="4" t="str">
        <f t="shared" si="1"/>
        <v/>
      </c>
    </row>
    <row r="12" spans="1:12">
      <c r="A12" s="1">
        <f t="shared" si="0"/>
        <v>10</v>
      </c>
      <c r="B12" s="1"/>
      <c r="C12" s="1"/>
      <c r="D12" s="1"/>
      <c r="E12" s="5"/>
      <c r="F12" s="1"/>
      <c r="G12" s="5"/>
      <c r="H12" s="1"/>
      <c r="I12" s="5"/>
      <c r="J12" s="1"/>
      <c r="K12" s="1"/>
      <c r="L12" s="4" t="str">
        <f t="shared" si="1"/>
        <v/>
      </c>
    </row>
    <row r="13" spans="1:12">
      <c r="A13" s="1">
        <f t="shared" si="0"/>
        <v>11</v>
      </c>
      <c r="B13" s="1"/>
      <c r="C13" s="1"/>
      <c r="D13" s="1"/>
      <c r="E13" s="5"/>
      <c r="F13" s="1"/>
      <c r="G13" s="5"/>
      <c r="H13" s="1"/>
      <c r="I13" s="5"/>
      <c r="J13" s="1"/>
      <c r="K13" s="1"/>
      <c r="L13" s="4" t="str">
        <f t="shared" si="1"/>
        <v/>
      </c>
    </row>
    <row r="14" spans="1:12">
      <c r="A14" s="1">
        <f t="shared" si="0"/>
        <v>12</v>
      </c>
      <c r="B14" s="1"/>
      <c r="C14" s="1"/>
      <c r="D14" s="1"/>
      <c r="E14" s="5"/>
      <c r="F14" s="1"/>
      <c r="G14" s="5"/>
      <c r="H14" s="1"/>
      <c r="I14" s="5"/>
      <c r="J14" s="1"/>
      <c r="K14" s="1"/>
      <c r="L14" s="4" t="str">
        <f t="shared" si="1"/>
        <v/>
      </c>
    </row>
    <row r="15" spans="1:12">
      <c r="A15" s="1">
        <f t="shared" si="0"/>
        <v>13</v>
      </c>
      <c r="B15" s="1"/>
      <c r="C15" s="1"/>
      <c r="D15" s="1"/>
      <c r="E15" s="5"/>
      <c r="F15" s="1"/>
      <c r="G15" s="5"/>
      <c r="H15" s="1"/>
      <c r="I15" s="5"/>
      <c r="J15" s="1"/>
      <c r="K15" s="1"/>
      <c r="L15" s="4" t="str">
        <f t="shared" si="1"/>
        <v/>
      </c>
    </row>
    <row r="16" spans="1:12">
      <c r="A16" s="1">
        <f t="shared" si="0"/>
        <v>14</v>
      </c>
      <c r="B16" s="1"/>
      <c r="C16" s="1"/>
      <c r="D16" s="1"/>
      <c r="E16" s="5"/>
      <c r="F16" s="1"/>
      <c r="G16" s="5"/>
      <c r="H16" s="1"/>
      <c r="I16" s="5"/>
      <c r="J16" s="1"/>
      <c r="K16" s="1"/>
      <c r="L16" s="4" t="str">
        <f t="shared" si="1"/>
        <v/>
      </c>
    </row>
    <row r="17" spans="1:12">
      <c r="A17" s="1">
        <f t="shared" si="0"/>
        <v>15</v>
      </c>
      <c r="B17" s="1"/>
      <c r="C17" s="1"/>
      <c r="D17" s="1"/>
      <c r="E17" s="5"/>
      <c r="F17" s="1"/>
      <c r="G17" s="5"/>
      <c r="H17" s="1"/>
      <c r="I17" s="5"/>
      <c r="J17" s="1"/>
      <c r="K17" s="1"/>
      <c r="L17" s="4" t="str">
        <f t="shared" si="1"/>
        <v/>
      </c>
    </row>
    <row r="18" spans="1:12">
      <c r="A18" s="1">
        <f t="shared" si="0"/>
        <v>16</v>
      </c>
      <c r="B18" s="1"/>
      <c r="C18" s="1"/>
      <c r="D18" s="1"/>
      <c r="E18" s="5"/>
      <c r="F18" s="1"/>
      <c r="G18" s="5"/>
      <c r="H18" s="1"/>
      <c r="I18" s="5"/>
      <c r="J18" s="1"/>
      <c r="K18" s="1"/>
      <c r="L18" s="4" t="str">
        <f t="shared" si="1"/>
        <v/>
      </c>
    </row>
    <row r="19" spans="1:12">
      <c r="A19" s="1">
        <f t="shared" si="0"/>
        <v>17</v>
      </c>
      <c r="B19" s="1"/>
      <c r="C19" s="1"/>
      <c r="D19" s="1"/>
      <c r="E19" s="5"/>
      <c r="F19" s="1"/>
      <c r="G19" s="5"/>
      <c r="H19" s="1"/>
      <c r="I19" s="5"/>
      <c r="J19" s="1"/>
      <c r="K19" s="1"/>
      <c r="L19" s="4" t="str">
        <f t="shared" si="1"/>
        <v/>
      </c>
    </row>
    <row r="20" spans="1:12">
      <c r="A20" s="1">
        <f t="shared" si="0"/>
        <v>18</v>
      </c>
      <c r="B20" s="1"/>
      <c r="C20" s="1"/>
      <c r="D20" s="1"/>
      <c r="E20" s="5"/>
      <c r="F20" s="1"/>
      <c r="G20" s="5"/>
      <c r="H20" s="1"/>
      <c r="I20" s="5"/>
      <c r="J20" s="1"/>
      <c r="K20" s="1"/>
      <c r="L20" s="4" t="str">
        <f t="shared" si="1"/>
        <v/>
      </c>
    </row>
    <row r="21" spans="1:12">
      <c r="A21" s="1">
        <f t="shared" si="0"/>
        <v>19</v>
      </c>
      <c r="B21" s="1"/>
      <c r="C21" s="1"/>
      <c r="D21" s="1"/>
      <c r="E21" s="5"/>
      <c r="F21" s="1"/>
      <c r="G21" s="5"/>
      <c r="H21" s="1"/>
      <c r="I21" s="5"/>
      <c r="J21" s="1"/>
      <c r="K21" s="1"/>
      <c r="L21" s="4" t="str">
        <f t="shared" si="1"/>
        <v/>
      </c>
    </row>
    <row r="22" spans="1:12">
      <c r="A22" s="1">
        <f t="shared" si="0"/>
        <v>20</v>
      </c>
      <c r="B22" s="1"/>
      <c r="C22" s="1"/>
      <c r="D22" s="1"/>
      <c r="E22" s="5"/>
      <c r="F22" s="1"/>
      <c r="G22" s="5"/>
      <c r="H22" s="1"/>
      <c r="I22" s="5"/>
      <c r="J22" s="1"/>
      <c r="K22" s="1"/>
      <c r="L22" s="4" t="str">
        <f t="shared" si="1"/>
        <v/>
      </c>
    </row>
    <row r="23" spans="1:12">
      <c r="A23" s="1">
        <f t="shared" si="0"/>
        <v>21</v>
      </c>
      <c r="B23" s="1"/>
      <c r="C23" s="1"/>
      <c r="D23" s="1"/>
      <c r="E23" s="5"/>
      <c r="F23" s="1"/>
      <c r="G23" s="5"/>
      <c r="H23" s="1"/>
      <c r="I23" s="5"/>
      <c r="J23" s="1"/>
      <c r="K23" s="1"/>
      <c r="L23" s="4" t="str">
        <f t="shared" si="1"/>
        <v/>
      </c>
    </row>
    <row r="24" spans="1:12">
      <c r="A24" s="1">
        <f t="shared" si="0"/>
        <v>22</v>
      </c>
      <c r="B24" s="1"/>
      <c r="C24" s="1"/>
      <c r="D24" s="1"/>
      <c r="E24" s="5"/>
      <c r="F24" s="1"/>
      <c r="G24" s="5"/>
      <c r="H24" s="1"/>
      <c r="I24" s="5"/>
      <c r="J24" s="1"/>
      <c r="K24" s="1"/>
      <c r="L24" s="4" t="str">
        <f t="shared" si="1"/>
        <v/>
      </c>
    </row>
    <row r="25" spans="1:12">
      <c r="A25" s="1">
        <f t="shared" si="0"/>
        <v>23</v>
      </c>
      <c r="B25" s="1"/>
      <c r="C25" s="1"/>
      <c r="D25" s="1"/>
      <c r="E25" s="5"/>
      <c r="F25" s="1"/>
      <c r="G25" s="5"/>
      <c r="H25" s="1"/>
      <c r="I25" s="5"/>
      <c r="J25" s="1"/>
      <c r="K25" s="1"/>
      <c r="L25" s="4" t="str">
        <f t="shared" si="1"/>
        <v/>
      </c>
    </row>
    <row r="26" spans="1:12">
      <c r="A26" s="1">
        <f t="shared" si="0"/>
        <v>24</v>
      </c>
      <c r="B26" s="1"/>
      <c r="C26" s="1"/>
      <c r="D26" s="1"/>
      <c r="E26" s="5"/>
      <c r="F26" s="1"/>
      <c r="G26" s="5"/>
      <c r="H26" s="1"/>
      <c r="I26" s="5"/>
      <c r="J26" s="1"/>
      <c r="K26" s="1"/>
      <c r="L26" s="4" t="str">
        <f t="shared" si="1"/>
        <v/>
      </c>
    </row>
    <row r="27" spans="1:12">
      <c r="A27" s="1">
        <f t="shared" si="0"/>
        <v>25</v>
      </c>
      <c r="B27" s="1"/>
      <c r="C27" s="1"/>
      <c r="D27" s="1"/>
      <c r="E27" s="5"/>
      <c r="F27" s="1"/>
      <c r="G27" s="5"/>
      <c r="H27" s="1"/>
      <c r="I27" s="5"/>
      <c r="J27" s="1"/>
      <c r="K27" s="1"/>
      <c r="L27" s="4" t="str">
        <f t="shared" si="1"/>
        <v/>
      </c>
    </row>
    <row r="28" spans="1:12">
      <c r="A28" s="1">
        <f t="shared" si="0"/>
        <v>26</v>
      </c>
      <c r="B28" s="1"/>
      <c r="C28" s="1"/>
      <c r="D28" s="1"/>
      <c r="E28" s="5"/>
      <c r="F28" s="1"/>
      <c r="G28" s="5"/>
      <c r="H28" s="1"/>
      <c r="I28" s="5"/>
      <c r="J28" s="1"/>
      <c r="K28" s="1"/>
      <c r="L28" s="4" t="str">
        <f t="shared" si="1"/>
        <v/>
      </c>
    </row>
    <row r="29" spans="1:12">
      <c r="A29" s="1">
        <f t="shared" si="0"/>
        <v>27</v>
      </c>
      <c r="B29" s="1"/>
      <c r="C29" s="1"/>
      <c r="D29" s="1"/>
      <c r="E29" s="5"/>
      <c r="F29" s="1"/>
      <c r="G29" s="5"/>
      <c r="H29" s="1"/>
      <c r="I29" s="5"/>
      <c r="J29" s="1"/>
      <c r="K29" s="1"/>
      <c r="L29" s="4" t="str">
        <f t="shared" si="1"/>
        <v/>
      </c>
    </row>
    <row r="30" spans="1:12">
      <c r="A30" s="1">
        <f t="shared" si="0"/>
        <v>28</v>
      </c>
      <c r="B30" s="1"/>
      <c r="C30" s="1"/>
      <c r="D30" s="1"/>
      <c r="E30" s="5"/>
      <c r="F30" s="1"/>
      <c r="G30" s="5"/>
      <c r="H30" s="1"/>
      <c r="I30" s="5"/>
      <c r="J30" s="1"/>
      <c r="K30" s="1"/>
      <c r="L30" s="4" t="str">
        <f t="shared" si="1"/>
        <v/>
      </c>
    </row>
  </sheetData>
  <mergeCells count="1">
    <mergeCell ref="A1:K1"/>
  </mergeCells>
  <phoneticPr fontId="1" type="noConversion"/>
  <dataValidations count="1">
    <dataValidation type="list" allowBlank="1" showInputMessage="1" showErrorMessage="1" sqref="H3:H30 J3:K30">
      <formula1>"是,否"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C22"/>
  <sheetViews>
    <sheetView workbookViewId="0">
      <selection activeCell="B25" sqref="B25"/>
    </sheetView>
  </sheetViews>
  <sheetFormatPr defaultRowHeight="13.5"/>
  <cols>
    <col min="1" max="1" width="42.5" customWidth="1"/>
    <col min="2" max="2" width="65.5" customWidth="1"/>
    <col min="3" max="3" width="81.25" customWidth="1"/>
  </cols>
  <sheetData>
    <row r="2" spans="1:3">
      <c r="A2" s="3" t="s">
        <v>78</v>
      </c>
    </row>
    <row r="3" spans="1:3">
      <c r="A3" s="16" t="s">
        <v>20</v>
      </c>
      <c r="B3" s="16" t="s">
        <v>21</v>
      </c>
      <c r="C3" s="16" t="s">
        <v>22</v>
      </c>
    </row>
    <row r="4" spans="1:3">
      <c r="A4" s="1" t="s">
        <v>131</v>
      </c>
      <c r="B4" s="1" t="s">
        <v>132</v>
      </c>
      <c r="C4" s="1" t="s">
        <v>133</v>
      </c>
    </row>
    <row r="5" spans="1:3">
      <c r="A5" s="1" t="s">
        <v>134</v>
      </c>
      <c r="B5" s="1" t="s">
        <v>137</v>
      </c>
      <c r="C5" s="1" t="s">
        <v>186</v>
      </c>
    </row>
    <row r="6" spans="1:3">
      <c r="A6" s="1" t="s">
        <v>163</v>
      </c>
      <c r="B6" s="1" t="s">
        <v>138</v>
      </c>
      <c r="C6" s="1" t="s">
        <v>167</v>
      </c>
    </row>
    <row r="7" spans="1:3">
      <c r="A7" s="1" t="s">
        <v>135</v>
      </c>
      <c r="B7" s="1" t="s">
        <v>139</v>
      </c>
      <c r="C7" s="1" t="s">
        <v>168</v>
      </c>
    </row>
    <row r="8" spans="1:3">
      <c r="A8" s="1" t="s">
        <v>140</v>
      </c>
      <c r="B8" s="1" t="s">
        <v>141</v>
      </c>
      <c r="C8" s="1" t="s">
        <v>169</v>
      </c>
    </row>
    <row r="9" spans="1:3">
      <c r="A9" s="1" t="s">
        <v>164</v>
      </c>
      <c r="B9" s="1" t="s">
        <v>142</v>
      </c>
      <c r="C9" s="1" t="s">
        <v>171</v>
      </c>
    </row>
    <row r="10" spans="1:3">
      <c r="A10" s="1" t="s">
        <v>165</v>
      </c>
      <c r="B10" s="1" t="s">
        <v>143</v>
      </c>
      <c r="C10" s="1" t="s">
        <v>166</v>
      </c>
    </row>
    <row r="11" spans="1:3">
      <c r="A11" s="1" t="s">
        <v>136</v>
      </c>
      <c r="B11" s="1" t="s">
        <v>144</v>
      </c>
      <c r="C11" s="1" t="s">
        <v>170</v>
      </c>
    </row>
    <row r="12" spans="1:3">
      <c r="A12" s="1" t="s">
        <v>145</v>
      </c>
      <c r="B12" s="1" t="s">
        <v>146</v>
      </c>
      <c r="C12" s="1" t="s">
        <v>172</v>
      </c>
    </row>
    <row r="13" spans="1:3">
      <c r="A13" s="1" t="s">
        <v>147</v>
      </c>
      <c r="B13" s="1" t="s">
        <v>148</v>
      </c>
      <c r="C13" s="1" t="s">
        <v>177</v>
      </c>
    </row>
    <row r="14" spans="1:3">
      <c r="A14" s="1" t="s">
        <v>149</v>
      </c>
      <c r="B14" s="1" t="s">
        <v>150</v>
      </c>
      <c r="C14" s="1" t="s">
        <v>173</v>
      </c>
    </row>
    <row r="15" spans="1:3">
      <c r="A15" s="1" t="s">
        <v>88</v>
      </c>
      <c r="B15" s="1" t="s">
        <v>151</v>
      </c>
      <c r="C15" s="1" t="s">
        <v>174</v>
      </c>
    </row>
    <row r="16" spans="1:3">
      <c r="A16" s="1" t="s">
        <v>175</v>
      </c>
      <c r="B16" s="1" t="s">
        <v>152</v>
      </c>
      <c r="C16" s="1" t="s">
        <v>176</v>
      </c>
    </row>
    <row r="17" spans="1:3">
      <c r="A17" s="1" t="s">
        <v>153</v>
      </c>
      <c r="B17" s="1" t="s">
        <v>154</v>
      </c>
      <c r="C17" s="1" t="s">
        <v>178</v>
      </c>
    </row>
    <row r="18" spans="1:3">
      <c r="A18" s="1" t="s">
        <v>179</v>
      </c>
      <c r="B18" s="1" t="s">
        <v>155</v>
      </c>
      <c r="C18" s="1" t="s">
        <v>180</v>
      </c>
    </row>
    <row r="19" spans="1:3">
      <c r="A19" s="1" t="s">
        <v>156</v>
      </c>
      <c r="B19" s="1" t="s">
        <v>157</v>
      </c>
      <c r="C19" s="1" t="s">
        <v>181</v>
      </c>
    </row>
    <row r="20" spans="1:3">
      <c r="A20" s="1" t="s">
        <v>158</v>
      </c>
      <c r="B20" s="1" t="s">
        <v>159</v>
      </c>
      <c r="C20" s="1" t="s">
        <v>182</v>
      </c>
    </row>
    <row r="21" spans="1:3">
      <c r="A21" s="1" t="s">
        <v>160</v>
      </c>
      <c r="B21" s="1" t="s">
        <v>161</v>
      </c>
      <c r="C21" s="1" t="s">
        <v>183</v>
      </c>
    </row>
    <row r="22" spans="1:3">
      <c r="A22" s="1" t="s">
        <v>184</v>
      </c>
      <c r="B22" s="1" t="s">
        <v>162</v>
      </c>
      <c r="C22" s="1" t="s">
        <v>185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"/>
  <sheetViews>
    <sheetView workbookViewId="0">
      <selection activeCell="C39" sqref="C39"/>
    </sheetView>
  </sheetViews>
  <sheetFormatPr defaultRowHeight="13.5"/>
  <cols>
    <col min="1" max="1" width="20.125" customWidth="1"/>
    <col min="2" max="2" width="10.375" customWidth="1"/>
    <col min="3" max="3" width="35.75" customWidth="1"/>
    <col min="4" max="4" width="31.5" customWidth="1"/>
  </cols>
  <sheetData>
    <row r="1" spans="1:3">
      <c r="A1" s="3" t="s">
        <v>23</v>
      </c>
    </row>
    <row r="2" spans="1:3">
      <c r="A2" s="17" t="s">
        <v>24</v>
      </c>
      <c r="B2" s="17" t="s">
        <v>26</v>
      </c>
      <c r="C2" s="17" t="s">
        <v>25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"/>
  <sheetViews>
    <sheetView workbookViewId="0">
      <selection activeCell="G10" sqref="G10"/>
    </sheetView>
  </sheetViews>
  <sheetFormatPr defaultRowHeight="13.5"/>
  <cols>
    <col min="1" max="1" width="30.375" customWidth="1"/>
    <col min="2" max="2" width="52.75" customWidth="1"/>
    <col min="3" max="3" width="34.875" customWidth="1"/>
    <col min="4" max="4" width="26.125" customWidth="1"/>
  </cols>
  <sheetData>
    <row r="1" spans="1:4">
      <c r="A1" s="43" t="s">
        <v>85</v>
      </c>
    </row>
    <row r="2" spans="1:4">
      <c r="A2" s="44" t="s">
        <v>111</v>
      </c>
      <c r="B2" s="42" t="s">
        <v>19</v>
      </c>
      <c r="C2" t="s">
        <v>89</v>
      </c>
    </row>
    <row r="3" spans="1:4">
      <c r="A3" s="44" t="s">
        <v>90</v>
      </c>
      <c r="B3" s="42" t="s">
        <v>192</v>
      </c>
    </row>
    <row r="4" spans="1:4">
      <c r="A4" s="44" t="s">
        <v>91</v>
      </c>
      <c r="B4" s="42" t="s">
        <v>190</v>
      </c>
    </row>
    <row r="5" spans="1:4">
      <c r="A5" s="44" t="s">
        <v>92</v>
      </c>
      <c r="B5" s="42" t="s">
        <v>79</v>
      </c>
    </row>
    <row r="6" spans="1:4">
      <c r="A6" s="44" t="s">
        <v>93</v>
      </c>
      <c r="B6" s="42" t="s">
        <v>191</v>
      </c>
    </row>
    <row r="9" spans="1:4">
      <c r="A9" s="51" t="s">
        <v>86</v>
      </c>
      <c r="B9" s="51"/>
      <c r="C9" s="51"/>
      <c r="D9" s="51"/>
    </row>
    <row r="10" spans="1:4" ht="14.25" thickBot="1">
      <c r="A10" s="15" t="s">
        <v>59</v>
      </c>
      <c r="B10" s="15" t="s">
        <v>60</v>
      </c>
      <c r="C10" s="15" t="s">
        <v>61</v>
      </c>
      <c r="D10" s="15" t="s">
        <v>62</v>
      </c>
    </row>
    <row r="11" spans="1:4" ht="15.75" thickBot="1">
      <c r="A11" s="18" t="s">
        <v>71</v>
      </c>
      <c r="B11" s="19" t="s">
        <v>52</v>
      </c>
      <c r="C11" s="20" t="s">
        <v>53</v>
      </c>
      <c r="D11" s="21"/>
    </row>
    <row r="12" spans="1:4" ht="15.75" thickBot="1">
      <c r="A12" s="18" t="s">
        <v>73</v>
      </c>
      <c r="B12" s="19" t="s">
        <v>54</v>
      </c>
      <c r="C12" s="22" t="s">
        <v>55</v>
      </c>
      <c r="D12" s="21"/>
    </row>
    <row r="13" spans="1:4" ht="15.75" thickBot="1">
      <c r="A13" s="18" t="s">
        <v>69</v>
      </c>
      <c r="B13" s="19" t="s">
        <v>36</v>
      </c>
      <c r="C13" s="23" t="s">
        <v>37</v>
      </c>
      <c r="D13" s="21"/>
    </row>
    <row r="14" spans="1:4" ht="15.75" thickBot="1">
      <c r="A14" s="18" t="s">
        <v>74</v>
      </c>
      <c r="B14" s="19" t="s">
        <v>56</v>
      </c>
      <c r="C14" s="20" t="s">
        <v>57</v>
      </c>
      <c r="D14" s="21"/>
    </row>
    <row r="15" spans="1:4" ht="15.75" thickBot="1">
      <c r="A15" s="18" t="s">
        <v>72</v>
      </c>
      <c r="B15" s="19" t="s">
        <v>52</v>
      </c>
      <c r="C15" s="20" t="s">
        <v>53</v>
      </c>
      <c r="D15" s="21"/>
    </row>
    <row r="16" spans="1:4" ht="15.75" thickBot="1">
      <c r="A16" s="24" t="s">
        <v>75</v>
      </c>
      <c r="B16" s="25" t="s">
        <v>58</v>
      </c>
      <c r="C16" s="26"/>
      <c r="D16" s="27"/>
    </row>
    <row r="17" spans="1:4" ht="15.75" thickBot="1">
      <c r="A17" s="28" t="s">
        <v>63</v>
      </c>
      <c r="B17" s="29" t="s">
        <v>27</v>
      </c>
      <c r="C17" s="30" t="s">
        <v>28</v>
      </c>
      <c r="D17" s="31"/>
    </row>
    <row r="18" spans="1:4" ht="15.75" thickBot="1">
      <c r="A18" s="18" t="s">
        <v>64</v>
      </c>
      <c r="B18" s="32" t="s">
        <v>29</v>
      </c>
      <c r="C18" s="23" t="s">
        <v>30</v>
      </c>
      <c r="D18" s="33" t="s">
        <v>31</v>
      </c>
    </row>
    <row r="19" spans="1:4" ht="15.75" thickBot="1">
      <c r="A19" s="18" t="s">
        <v>65</v>
      </c>
      <c r="B19" s="19" t="s">
        <v>32</v>
      </c>
      <c r="C19" s="23" t="s">
        <v>28</v>
      </c>
      <c r="D19" s="21"/>
    </row>
    <row r="20" spans="1:4" ht="15.75" thickBot="1">
      <c r="A20" s="18" t="s">
        <v>66</v>
      </c>
      <c r="B20" s="19" t="s">
        <v>33</v>
      </c>
      <c r="C20" s="23" t="s">
        <v>30</v>
      </c>
      <c r="D20" s="21"/>
    </row>
    <row r="21" spans="1:4" ht="15.75" thickBot="1">
      <c r="A21" s="18" t="s">
        <v>67</v>
      </c>
      <c r="B21" s="32" t="s">
        <v>34</v>
      </c>
      <c r="C21" s="20"/>
      <c r="D21" s="21"/>
    </row>
    <row r="22" spans="1:4" ht="23.25" thickBot="1">
      <c r="A22" s="18" t="s">
        <v>68</v>
      </c>
      <c r="B22" s="32" t="s">
        <v>34</v>
      </c>
      <c r="C22" s="34"/>
      <c r="D22" s="33" t="s">
        <v>35</v>
      </c>
    </row>
    <row r="23" spans="1:4" ht="15.75" thickBot="1">
      <c r="A23" s="35" t="s">
        <v>70</v>
      </c>
      <c r="B23" s="36" t="s">
        <v>38</v>
      </c>
      <c r="C23" s="37" t="s">
        <v>28</v>
      </c>
      <c r="D23" s="38" t="s">
        <v>39</v>
      </c>
    </row>
    <row r="24" spans="1:4" ht="15.75" thickBot="1">
      <c r="A24" s="18" t="s">
        <v>76</v>
      </c>
      <c r="B24" s="19" t="s">
        <v>40</v>
      </c>
      <c r="C24" s="23" t="s">
        <v>41</v>
      </c>
      <c r="D24" s="39" t="s">
        <v>39</v>
      </c>
    </row>
    <row r="25" spans="1:4" ht="15.75" thickBot="1">
      <c r="A25" s="18" t="s">
        <v>42</v>
      </c>
      <c r="B25" s="19" t="s">
        <v>43</v>
      </c>
      <c r="C25" s="23" t="s">
        <v>44</v>
      </c>
      <c r="D25" s="21"/>
    </row>
    <row r="26" spans="1:4" ht="15.75" thickBot="1">
      <c r="A26" s="18" t="s">
        <v>80</v>
      </c>
      <c r="B26" s="19" t="s">
        <v>45</v>
      </c>
      <c r="C26" s="23" t="s">
        <v>44</v>
      </c>
      <c r="D26" s="21"/>
    </row>
    <row r="27" spans="1:4" ht="15.75" thickBot="1">
      <c r="A27" s="18" t="s">
        <v>81</v>
      </c>
      <c r="B27" s="19" t="s">
        <v>46</v>
      </c>
      <c r="C27" s="23" t="s">
        <v>44</v>
      </c>
      <c r="D27" s="21"/>
    </row>
    <row r="28" spans="1:4" ht="15.75" thickBot="1">
      <c r="A28" s="18" t="s">
        <v>82</v>
      </c>
      <c r="B28" s="19" t="s">
        <v>47</v>
      </c>
      <c r="C28" s="23" t="s">
        <v>44</v>
      </c>
      <c r="D28" s="21"/>
    </row>
    <row r="29" spans="1:4" ht="23.25" thickBot="1">
      <c r="A29" s="18" t="s">
        <v>83</v>
      </c>
      <c r="B29" s="19" t="s">
        <v>48</v>
      </c>
      <c r="C29" s="34" t="s">
        <v>49</v>
      </c>
      <c r="D29" s="40" t="s">
        <v>50</v>
      </c>
    </row>
    <row r="30" spans="1:4" ht="15.75" thickBot="1">
      <c r="A30" s="24" t="s">
        <v>84</v>
      </c>
      <c r="B30" s="25" t="s">
        <v>51</v>
      </c>
      <c r="C30" s="41" t="s">
        <v>30</v>
      </c>
      <c r="D30" s="27"/>
    </row>
  </sheetData>
  <mergeCells count="1">
    <mergeCell ref="A9:D9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78"/>
  <sheetViews>
    <sheetView topLeftCell="A58" workbookViewId="0">
      <selection activeCell="P24" sqref="P24"/>
    </sheetView>
  </sheetViews>
  <sheetFormatPr defaultRowHeight="13.5"/>
  <sheetData>
    <row r="1" spans="1:5">
      <c r="A1" s="3" t="s">
        <v>95</v>
      </c>
    </row>
    <row r="2" spans="1:5">
      <c r="B2" t="s">
        <v>96</v>
      </c>
    </row>
    <row r="3" spans="1:5">
      <c r="B3" t="s">
        <v>100</v>
      </c>
    </row>
    <row r="4" spans="1:5">
      <c r="B4" t="s">
        <v>99</v>
      </c>
    </row>
    <row r="6" spans="1:5">
      <c r="B6" t="s">
        <v>118</v>
      </c>
      <c r="D6" t="s">
        <v>119</v>
      </c>
      <c r="E6" t="s">
        <v>117</v>
      </c>
    </row>
    <row r="7" spans="1:5">
      <c r="B7" t="s">
        <v>120</v>
      </c>
      <c r="D7" t="s">
        <v>121</v>
      </c>
      <c r="E7" t="s">
        <v>116</v>
      </c>
    </row>
    <row r="9" spans="1:5">
      <c r="A9" s="3" t="s">
        <v>129</v>
      </c>
    </row>
    <row r="10" spans="1:5">
      <c r="B10" t="s">
        <v>130</v>
      </c>
    </row>
    <row r="12" spans="1:5">
      <c r="A12" s="3" t="s">
        <v>187</v>
      </c>
      <c r="B12" s="46" t="s">
        <v>188</v>
      </c>
    </row>
    <row r="13" spans="1:5">
      <c r="A13" s="47" t="s">
        <v>189</v>
      </c>
    </row>
    <row r="57" spans="1:17">
      <c r="A57" t="s">
        <v>101</v>
      </c>
    </row>
    <row r="64" spans="1:17">
      <c r="Q64" s="45" t="s">
        <v>97</v>
      </c>
    </row>
    <row r="65" spans="1:18">
      <c r="Q65" s="45" t="s">
        <v>98</v>
      </c>
    </row>
    <row r="66" spans="1:18">
      <c r="R66" t="s">
        <v>107</v>
      </c>
    </row>
    <row r="72" spans="1:18">
      <c r="A72" t="s">
        <v>122</v>
      </c>
    </row>
    <row r="77" spans="1:18">
      <c r="M77" t="s">
        <v>123</v>
      </c>
    </row>
    <row r="78" spans="1:18">
      <c r="M78" t="s">
        <v>124</v>
      </c>
    </row>
    <row r="92" spans="1:1">
      <c r="A92" t="s">
        <v>102</v>
      </c>
    </row>
    <row r="102" spans="1:16">
      <c r="C102" t="s">
        <v>103</v>
      </c>
      <c r="P102" t="s">
        <v>106</v>
      </c>
    </row>
    <row r="103" spans="1:16">
      <c r="C103" t="s">
        <v>104</v>
      </c>
    </row>
    <row r="104" spans="1:16">
      <c r="C104" t="s">
        <v>105</v>
      </c>
    </row>
    <row r="111" spans="1:16">
      <c r="A111" t="s">
        <v>108</v>
      </c>
    </row>
    <row r="117" spans="19:19">
      <c r="S117" t="s">
        <v>109</v>
      </c>
    </row>
    <row r="118" spans="19:19">
      <c r="S118" t="s">
        <v>114</v>
      </c>
    </row>
    <row r="119" spans="19:19">
      <c r="S119" t="s">
        <v>115</v>
      </c>
    </row>
    <row r="120" spans="19:19">
      <c r="S120" t="s">
        <v>110</v>
      </c>
    </row>
    <row r="121" spans="19:19">
      <c r="S121" t="s">
        <v>112</v>
      </c>
    </row>
    <row r="122" spans="19:19">
      <c r="S122" t="s">
        <v>113</v>
      </c>
    </row>
    <row r="139" spans="1:21">
      <c r="A139" t="s">
        <v>125</v>
      </c>
    </row>
    <row r="142" spans="1:21">
      <c r="U142" t="s">
        <v>126</v>
      </c>
    </row>
    <row r="143" spans="1:21">
      <c r="U143" t="s">
        <v>127</v>
      </c>
    </row>
    <row r="178" spans="7:7">
      <c r="G178" t="s">
        <v>128</v>
      </c>
    </row>
  </sheetData>
  <phoneticPr fontId="1" type="noConversion"/>
  <hyperlinks>
    <hyperlink ref="B12" r:id="rId1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批量生成sql</vt:lpstr>
      <vt:lpstr>SEQUENCE</vt:lpstr>
      <vt:lpstr>消息</vt:lpstr>
      <vt:lpstr>checkResult</vt:lpstr>
      <vt:lpstr>dataSetting</vt:lpstr>
      <vt:lpstr>使用说明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winner</dc:creator>
  <cp:lastModifiedBy>King.LF</cp:lastModifiedBy>
  <dcterms:created xsi:type="dcterms:W3CDTF">2016-11-21T02:50:16Z</dcterms:created>
  <dcterms:modified xsi:type="dcterms:W3CDTF">2019-11-14T13:19:14Z</dcterms:modified>
</cp:coreProperties>
</file>